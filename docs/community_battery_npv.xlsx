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NPV — 200kWh" sheetId="2" state="visible" r:id="rId4"/>
    <sheet name="NPV — 400kWh" sheetId="3" state="visible" r:id="rId5"/>
    <sheet name="Comparison" sheetId="4" state="visible" r:id="rId6"/>
    <sheet name="NPV — 200kWh TOU" sheetId="5" state="visible" r:id="rId7"/>
    <sheet name="NPV — 400kWh TOU" sheetId="6" state="visible" r:id="rId8"/>
    <sheet name="NPV — Spot Full Year" sheetId="7" state="visible" r:id="rId9"/>
    <sheet name="NPV — Spot Conservativ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<sst xmlns="http://schemas.openxmlformats.org/spreadsheetml/2006/main" count="572" uniqueCount="242">
  <si>
    <t xml:space="preserve">Community Battery NPV Model — Assumptions</t>
  </si>
  <si>
    <t xml:space="preserve">Sources: CSIRO GenCost 2025, AER RORI 2025, Evoenergy TSS 2024</t>
  </si>
  <si>
    <t xml:space="preserve">Parameter</t>
  </si>
  <si>
    <t xml:space="preserve">Value</t>
  </si>
  <si>
    <t xml:space="preserve">Unit</t>
  </si>
  <si>
    <t xml:space="preserve">Source</t>
  </si>
  <si>
    <t xml:space="preserve">Battery Configuration</t>
  </si>
  <si>
    <t xml:space="preserve">Power rating</t>
  </si>
  <si>
    <t xml:space="preserve">kW</t>
  </si>
  <si>
    <t xml:space="preserve">System specification</t>
  </si>
  <si>
    <t xml:space="preserve">Dispatch limit (primary analysis)</t>
  </si>
  <si>
    <t xml:space="preserve">Matches GenCost power rating (2hr and 4hr specs)</t>
  </si>
  <si>
    <t xml:space="preserve">Energy capacity — Scenario A</t>
  </si>
  <si>
    <t xml:space="preserve">kWh</t>
  </si>
  <si>
    <t xml:space="preserve">Sensitivity parameter</t>
  </si>
  <si>
    <t xml:space="preserve">Energy capacity — Scenario B</t>
  </si>
  <si>
    <t xml:space="preserve">Capital Costs</t>
  </si>
  <si>
    <t xml:space="preserve">Total installed cost (2hr, 200kWh)</t>
  </si>
  <si>
    <t xml:space="preserve">A$/kWh</t>
  </si>
  <si>
    <t xml:space="preserve">GenCost 2025, 2hr, current policies</t>
  </si>
  <si>
    <t xml:space="preserve">Total installed cost (4hr, 400kWh)</t>
  </si>
  <si>
    <t xml:space="preserve">GenCost 2025, 4hr, current policies</t>
  </si>
  <si>
    <t xml:space="preserve">Battery module cost (2hr)</t>
  </si>
  <si>
    <t xml:space="preserve">GenCost 2025</t>
  </si>
  <si>
    <t xml:space="preserve">Battery module cost (4hr)</t>
  </si>
  <si>
    <t xml:space="preserve">BOP cost (2hr)</t>
  </si>
  <si>
    <t xml:space="preserve">BOP cost (4hr)</t>
  </si>
  <si>
    <t xml:space="preserve">Module cost 2037 (2hr, projected)</t>
  </si>
  <si>
    <t xml:space="preserve">GenCost interpolated, current policies</t>
  </si>
  <si>
    <t xml:space="preserve">Module cost 2037 (4hr, projected)</t>
  </si>
  <si>
    <t xml:space="preserve">Module cost 2037 (2hr, NZE post 2050)</t>
  </si>
  <si>
    <t xml:space="preserve">GenCost interpolated, NZE post 2050</t>
  </si>
  <si>
    <t xml:space="preserve">Module cost 2037 (4hr, NZE post 2050)</t>
  </si>
  <si>
    <t xml:space="preserve">Operating Costs</t>
  </si>
  <si>
    <t xml:space="preserve">O&amp;M (% of capital per year)</t>
  </si>
  <si>
    <t xml:space="preserve">%</t>
  </si>
  <si>
    <t xml:space="preserve">Industry estimate (1.5%)</t>
  </si>
  <si>
    <t xml:space="preserve">Degradation cost</t>
  </si>
  <si>
    <t xml:space="preserve">Battery throughput cost</t>
  </si>
  <si>
    <t xml:space="preserve">Revenue — RL Dispatch, Spot (A$/day)</t>
  </si>
  <si>
    <t xml:space="preserve">RL revenue ±50kW / 200kWh</t>
  </si>
  <si>
    <t xml:space="preserve">A$/day</t>
  </si>
  <si>
    <t xml:space="preserve">Q-learning result</t>
  </si>
  <si>
    <t xml:space="preserve">RL revenue ±50kW / 400kWh</t>
  </si>
  <si>
    <t xml:space="preserve">RL revenue ±80kW / 200kWh</t>
  </si>
  <si>
    <t xml:space="preserve">RL revenue ±80kW / 300kWh</t>
  </si>
  <si>
    <t xml:space="preserve">RL revenue ±80kW / 400kWh</t>
  </si>
  <si>
    <t xml:space="preserve">RL revenue ±100kW / 200kWh</t>
  </si>
  <si>
    <t xml:space="preserve">RL revenue ±100kW / 400kWh</t>
  </si>
  <si>
    <t xml:space="preserve">Primary analysis uses ±100kW to match GenCost 2hr/4hr power rating.</t>
  </si>
  <si>
    <t xml:space="preserve">Revenue — TOU RL Dispatch (A$/day)</t>
  </si>
  <si>
    <t xml:space="preserve">TOU RL revenue ±50kW / 200kWh</t>
  </si>
  <si>
    <t xml:space="preserve">Q-learning result (TOU)</t>
  </si>
  <si>
    <t xml:space="preserve">TOU RL revenue ±50kW / 400kWh</t>
  </si>
  <si>
    <t xml:space="preserve">TOU RL revenue ±80kW / 200kWh</t>
  </si>
  <si>
    <t xml:space="preserve">TOU RL revenue ±80kW / 300kWh</t>
  </si>
  <si>
    <t xml:space="preserve">TOU RL revenue ±80kW / 400kWh</t>
  </si>
  <si>
    <t xml:space="preserve">TOU RL revenue ±100kW / 200kWh</t>
  </si>
  <si>
    <t xml:space="preserve">TOU RL revenue ±100kW / 400kWh</t>
  </si>
  <si>
    <t xml:space="preserve">LRMC import (residential)</t>
  </si>
  <si>
    <t xml:space="preserve">A$/kW/yr</t>
  </si>
  <si>
    <t xml:space="preserve">Evoenergy TSS 2024</t>
  </si>
  <si>
    <t xml:space="preserve">TOU Price Signal</t>
  </si>
  <si>
    <t xml:space="preserve">ActewAGL Home Daytime Economy, from 1 July 2025 (GST excl.)</t>
  </si>
  <si>
    <t xml:space="preserve">A$</t>
  </si>
  <si>
    <t xml:space="preserve">Evoenergy estimate</t>
  </si>
  <si>
    <t xml:space="preserve">Solar soak (11am-3pm)</t>
  </si>
  <si>
    <t xml:space="preserve">c/kWh</t>
  </si>
  <si>
    <t xml:space="preserve">Assumption</t>
  </si>
  <si>
    <t xml:space="preserve">Shoulder</t>
  </si>
  <si>
    <t xml:space="preserve">Midday solar charge</t>
  </si>
  <si>
    <t xml:space="preserve">Peak (7-9am, 5-9pm)</t>
  </si>
  <si>
    <t xml:space="preserve">Spread (peak - solar soak)</t>
  </si>
  <si>
    <t xml:space="preserve">DNSP Benefits (not included in operator NPV)</t>
  </si>
  <si>
    <t xml:space="preserve">Export LRMC saving</t>
  </si>
  <si>
    <t xml:space="preserve">A$/year</t>
  </si>
  <si>
    <t xml:space="preserve">Evoenergy avoided cost, not operator revenue</t>
  </si>
  <si>
    <t xml:space="preserve">Avoided augmentation PV</t>
  </si>
  <si>
    <t xml:space="preserve">Revenue — Full-Year PyPSA Analysis (2024, 366 days)</t>
  </si>
  <si>
    <t xml:space="preserve">PyPSA annual revenue (±100kW/200kWh)</t>
  </si>
  <si>
    <t xml:space="preserve">A$/yr</t>
  </si>
  <si>
    <t xml:space="preserve">PyPSA LP, 366 days, AEMO NSW1 2024</t>
  </si>
  <si>
    <t xml:space="preserve">DP annual revenue (±100kW/200kWh)</t>
  </si>
  <si>
    <t xml:space="preserve">DP backward induction, 366 days</t>
  </si>
  <si>
    <t xml:space="preserve">RL estimated annual revenue (±100kW/200kWh)</t>
  </si>
  <si>
    <t xml:space="preserve">DP × RL/DP ratios from 5 representative days</t>
  </si>
  <si>
    <t xml:space="preserve">Spot conservative (excl top 20 spikes)</t>
  </si>
  <si>
    <t xml:space="preserve">PyPSA, removing top 20 spike days</t>
  </si>
  <si>
    <t xml:space="preserve">Network safety cost</t>
  </si>
  <si>
    <t xml:space="preserve">DP annual − RL estimated annual (3.2%)</t>
  </si>
  <si>
    <t xml:space="preserve">Revenue — Representative Day RL Results</t>
  </si>
  <si>
    <t xml:space="preserve">RL/DP ratio — low bucket</t>
  </si>
  <si>
    <t xml:space="preserve">2024-02-24, 51 days like this</t>
  </si>
  <si>
    <t xml:space="preserve">RL/DP ratio — typical bucket</t>
  </si>
  <si>
    <t xml:space="preserve">2024-09-27, 227 days like this</t>
  </si>
  <si>
    <t xml:space="preserve">RL/DP ratio — high bucket</t>
  </si>
  <si>
    <t xml:space="preserve">2024-06-25, 52 days like this</t>
  </si>
  <si>
    <t xml:space="preserve">RL/DP ratio — very high bucket</t>
  </si>
  <si>
    <t xml:space="preserve">2024-05-03, 26 days like this</t>
  </si>
  <si>
    <t xml:space="preserve">RL/DP ratio — spike bucket</t>
  </si>
  <si>
    <t xml:space="preserve">2024-02-29, 10 days like this</t>
  </si>
  <si>
    <t xml:space="preserve">Violation Statistics (366 days)</t>
  </si>
  <si>
    <t xml:space="preserve">PyPSA violations/year</t>
  </si>
  <si>
    <t xml:space="preserve">PyPSA dispatch → OpenDSS check</t>
  </si>
  <si>
    <t xml:space="preserve">DP violations/year</t>
  </si>
  <si>
    <t xml:space="preserve">DP dispatch → OpenDSS check</t>
  </si>
  <si>
    <t xml:space="preserve">RL violations/year</t>
  </si>
  <si>
    <t xml:space="preserve">0 on all 5 representative days</t>
  </si>
  <si>
    <t xml:space="preserve">Days with violations (unconstrained)</t>
  </si>
  <si>
    <t xml:space="preserve">366/366</t>
  </si>
  <si>
    <t xml:space="preserve">Every day has violations under PyPSA and DP</t>
  </si>
  <si>
    <t xml:space="preserve">NPV Model: ±100kW / 200kWh Community Battery — Spot (Model A)</t>
  </si>
  <si>
    <t xml:space="preserve">All values in A$ (2025 real terms)</t>
  </si>
  <si>
    <t xml:space="preserve">Energy capacity</t>
  </si>
  <si>
    <t xml:space="preserve">Capital cost per kWh</t>
  </si>
  <si>
    <t xml:space="preserve">GenCost 2025, 2hr</t>
  </si>
  <si>
    <t xml:space="preserve">Total capital cost</t>
  </si>
  <si>
    <t xml:space="preserve">Daily Spot RL revenue (±100kW)</t>
  </si>
  <si>
    <t xml:space="preserve">Q-learning single-day result. Full-year RL est: A$37,422/yr = A$102.25/day</t>
  </si>
  <si>
    <t xml:space="preserve">O&amp;M rate</t>
  </si>
  <si>
    <t xml:space="preserve">% of cap/yr</t>
  </si>
  <si>
    <t xml:space="preserve">Industry estimate</t>
  </si>
  <si>
    <t xml:space="preserve">Discount rate</t>
  </si>
  <si>
    <t xml:space="preserve">AER RORI 2025</t>
  </si>
  <si>
    <t xml:space="preserve">Capacity fade</t>
  </si>
  <si>
    <t xml:space="preserve">/year</t>
  </si>
  <si>
    <t xml:space="preserve">Linear</t>
  </si>
  <si>
    <t xml:space="preserve">Module replacement year</t>
  </si>
  <si>
    <t xml:space="preserve">Module cost per kWh</t>
  </si>
  <si>
    <t xml:space="preserve">GenCost 2037 projected, current policies (was A$309 in 2025)</t>
  </si>
  <si>
    <t xml:space="preserve">LRMC export saving (kW)</t>
  </si>
  <si>
    <t xml:space="preserve">Solar absorption</t>
  </si>
  <si>
    <t xml:space="preserve">LRMC export rate</t>
  </si>
  <si>
    <t xml:space="preserve">Annual Cash Flow Projection</t>
  </si>
  <si>
    <t xml:space="preserve">Year</t>
  </si>
  <si>
    <t xml:space="preserve">Capacity Fade</t>
  </si>
  <si>
    <t xml:space="preserve">Adj Revenue/day</t>
  </si>
  <si>
    <t xml:space="preserve">Annual Revenue</t>
  </si>
  <si>
    <t xml:space="preserve">Export LRMC (excluded)</t>
  </si>
  <si>
    <t xml:space="preserve">O&amp;M Cost</t>
  </si>
  <si>
    <t xml:space="preserve">Module Replacement</t>
  </si>
  <si>
    <t xml:space="preserve">Net Cash Flow</t>
  </si>
  <si>
    <t xml:space="preserve">Discount Factor</t>
  </si>
  <si>
    <t xml:space="preserve">Discounted CF</t>
  </si>
  <si>
    <t xml:space="preserve">Cumulative DCF</t>
  </si>
  <si>
    <t xml:space="preserve">Summary Metrics</t>
  </si>
  <si>
    <t xml:space="preserve">NPV (20 years)</t>
  </si>
  <si>
    <t xml:space="preserve">NPV including avoided augmentation</t>
  </si>
  <si>
    <t xml:space="preserve">Note: Export LRMC saving (A$1,150/yr) excluded from operator NPV.</t>
  </si>
  <si>
    <t xml:space="preserve">LRMC is a DNSP benefit (Evoenergy avoided cost), not operator revenue.</t>
  </si>
  <si>
    <t xml:space="preserve">Reported separately as DNSP value alongside augmentation deferral.</t>
  </si>
  <si>
    <t xml:space="preserve">NPV Model: ±100kW / 400kWh Community Battery — Spot (Model A)</t>
  </si>
  <si>
    <t xml:space="preserve">GenCost 2025, 4hr</t>
  </si>
  <si>
    <t xml:space="preserve">Q-learning result (spot), 0 violations, matches GenCost 4hr spec</t>
  </si>
  <si>
    <t xml:space="preserve">GenCost 2037 projected, current policies (was A$269 in 2025)</t>
  </si>
  <si>
    <t xml:space="preserve">Investment Comparison: ±100kW Dispatch (matches GenCost 2hr/4hr specs)</t>
  </si>
  <si>
    <t xml:space="preserve">Metric</t>
  </si>
  <si>
    <t xml:space="preserve">200 kWh (Spot)</t>
  </si>
  <si>
    <t xml:space="preserve">400 kWh (Spot)</t>
  </si>
  <si>
    <t xml:space="preserve">Difference</t>
  </si>
  <si>
    <t xml:space="preserve">Capital cost</t>
  </si>
  <si>
    <t xml:space="preserve">Daily RL revenue (±80kW)</t>
  </si>
  <si>
    <t xml:space="preserve">Year 1 annual revenue</t>
  </si>
  <si>
    <t xml:space="preserve">Year 1 net cash flow</t>
  </si>
  <si>
    <t xml:space="preserve">Simple payback (years)</t>
  </si>
  <si>
    <t xml:space="preserve">NPV + avoided augmentation</t>
  </si>
  <si>
    <t xml:space="preserve">RL violations</t>
  </si>
  <si>
    <t xml:space="preserve">DP violations (for comparison)</t>
  </si>
  <si>
    <t xml:space="preserve">TOU Business Model (Model B)</t>
  </si>
  <si>
    <t xml:space="preserve">200 kWh (TOU)</t>
  </si>
  <si>
    <t xml:space="preserve">400 kWh (TOU)</t>
  </si>
  <si>
    <t xml:space="preserve">Daily TOU RL revenue (±80kW)</t>
  </si>
  <si>
    <t xml:space="preserve">Cross-Model Comparison (±100kW / 200kWh)</t>
  </si>
  <si>
    <t xml:space="preserve">Spot (Model A)</t>
  </si>
  <si>
    <t xml:space="preserve">TOU (Model B)</t>
  </si>
  <si>
    <t xml:space="preserve">TOU Advantage</t>
  </si>
  <si>
    <t xml:space="preserve">Daily RL revenue</t>
  </si>
  <si>
    <t xml:space="preserve">Annual revenue (Year 1)</t>
  </si>
  <si>
    <t xml:space="preserve">Simple payback</t>
  </si>
  <si>
    <t xml:space="preserve">NPV + augmentation</t>
  </si>
  <si>
    <t xml:space="preserve">Revenue multiplier (TOU/Spot)</t>
  </si>
  <si>
    <t xml:space="preserve">Key Insights:</t>
  </si>
  <si>
    <t xml:space="preserve">All configs use ±100kW dispatch, matching GenCost 2hr (200kWh) and 4hr (400kWh) power ratings.</t>
  </si>
  <si>
    <t xml:space="preserve">Export LRMC (A$1,150/yr) and augmentation deferral (A$21,095 PV) are DNSP benefits, excluded from operator NPV.</t>
  </si>
  <si>
    <t xml:space="preserve">The TOU model is strongly viable at Tier 1 (arbitrage only). The spot model requires Tier 3 for marginal viability.</t>
  </si>
  <si>
    <t xml:space="preserve">±80kW dispatch results available as sensitivity analysis (lower revenue, wider voltage margins).</t>
  </si>
  <si>
    <t xml:space="preserve">Full-Year Analysis (±100kW / 200kWh, 2024)</t>
  </si>
  <si>
    <t xml:space="preserve">Annual revenue (RL network-safe)</t>
  </si>
  <si>
    <t xml:space="preserve">Revenue basis</t>
  </si>
  <si>
    <t xml:space="preserve">366-day DP × RL/DP ratios</t>
  </si>
  <si>
    <t xml:space="preserve">Fixed daily × 365.25</t>
  </si>
  <si>
    <t xml:space="preserve">Violations/year</t>
  </si>
  <si>
    <t xml:space="preserve">Both achieve 0 via RL</t>
  </si>
  <si>
    <t xml:space="preserve">Revenue variance</t>
  </si>
  <si>
    <t xml:space="preserve">σ ≈ A$380/day</t>
  </si>
  <si>
    <t xml:space="preserve">Zero</t>
  </si>
  <si>
    <t xml:space="preserve">Spike dependence</t>
  </si>
  <si>
    <t xml:space="preserve">44% from top 10 days</t>
  </si>
  <si>
    <t xml:space="preserve">None</t>
  </si>
  <si>
    <t xml:space="preserve">Network safety cost (DP → RL)</t>
  </si>
  <si>
    <t xml:space="preserve">N/A (TOU same daily)</t>
  </si>
  <si>
    <t xml:space="preserve">3.2% of spot DP revenue</t>
  </si>
  <si>
    <t xml:space="preserve">Full-Year Revenue Scenarios (±100kW / 200kWh)</t>
  </si>
  <si>
    <t xml:space="preserve">Scenario</t>
  </si>
  <si>
    <t xml:space="preserve">Annual</t>
  </si>
  <si>
    <t xml:space="preserve">Daily</t>
  </si>
  <si>
    <t xml:space="preserve">Basis</t>
  </si>
  <si>
    <t xml:space="preserve">Spot — RL full year (incl spikes)</t>
  </si>
  <si>
    <t xml:space="preserve">Spot — conservative (excl top 20)</t>
  </si>
  <si>
    <t xml:space="preserve">Remove unpredictable spike revenue</t>
  </si>
  <si>
    <t xml:space="preserve">Spot — single typical day × 365</t>
  </si>
  <si>
    <t xml:space="preserve">Original NPV input (Jun 28)</t>
  </si>
  <si>
    <t xml:space="preserve">TOU — guaranteed</t>
  </si>
  <si>
    <t xml:space="preserve">Fixed daily from ActewAGL tariff</t>
  </si>
  <si>
    <t xml:space="preserve">Full-Year NPV Comparison (±100kW / 200kWh)</t>
  </si>
  <si>
    <t xml:space="preserve">NPV (Tier 1)</t>
  </si>
  <si>
    <t xml:space="preserve">Simple Payback</t>
  </si>
  <si>
    <t xml:space="preserve">Spot — single day × 365 (original)</t>
  </si>
  <si>
    <t xml:space="preserve">Spot — full year / top line</t>
  </si>
  <si>
    <t xml:space="preserve">Spot — conservative / bottom line</t>
  </si>
  <si>
    <t xml:space="preserve">NPV Model: ±100kW / 200kWh Community Battery — TOU (Model B)</t>
  </si>
  <si>
    <t xml:space="preserve">All values in A$ (2025 real terms). Revenue from ActewAGL Home Daytime Economy tariff.</t>
  </si>
  <si>
    <t xml:space="preserve">Daily TOU RL revenue (±100kW)</t>
  </si>
  <si>
    <t xml:space="preserve">Q-learning result (TOU), 0 violations, matches GenCost 2hr spec</t>
  </si>
  <si>
    <t xml:space="preserve">GenCost 2037 projected</t>
  </si>
  <si>
    <t xml:space="preserve">NPV (20 years, arbitrage + LRMC)</t>
  </si>
  <si>
    <t xml:space="preserve">NPV Model: ±100kW / 400kWh Community Battery — TOU (Model B)</t>
  </si>
  <si>
    <t xml:space="preserve">Q-learning result (TOU), 0 violations, matches GenCost 4hr spec</t>
  </si>
  <si>
    <t xml:space="preserve">NPV Model: ±100kW / 200kWh — Spot Full Year (Top Line)</t>
  </si>
  <si>
    <t xml:space="preserve">Revenue from 366-day RL estimate (2024 AEMO NSW1, includes spike days). Best-case spot scenario.</t>
  </si>
  <si>
    <t xml:space="preserve">Annual RL revenue (±100kW, full year)</t>
  </si>
  <si>
    <t xml:space="preserve">RL estimated: 366-day DP × RL/DP ratios from 5 representative days</t>
  </si>
  <si>
    <t xml:space="preserve">Linear 2%/yr, resets at module replacement, floor 70%</t>
  </si>
  <si>
    <t xml:space="preserve">Module cost per kWh (replacement)</t>
  </si>
  <si>
    <t xml:space="preserve">GenCost 2037 projected, current policies</t>
  </si>
  <si>
    <t xml:space="preserve">Adj Annual Revenue</t>
  </si>
  <si>
    <t xml:space="preserve">NPV (Tier 1: Arbitrage only)</t>
  </si>
  <si>
    <t xml:space="preserve">NPV (Tier 2: + augmentation deferral)</t>
  </si>
  <si>
    <t xml:space="preserve">NPV (Tier 3: + aug + LRMC)</t>
  </si>
  <si>
    <t xml:space="preserve">NPV Model: ±100kW / 200kWh — Spot Conservative (Bottom Line)</t>
  </si>
  <si>
    <t xml:space="preserve">Revenue excluding top 20 spike days (stable, repeatable revenue only). Worst-case spot scenario.</t>
  </si>
  <si>
    <t xml:space="preserve">PyPSA 366 days, excluding top 20 spike days (mean of remaining 346 days × 365.25)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</si>
</sst>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\$#,##0"/>
    <numFmt numFmtId="167" formatCode="0.0%"/>
    <numFmt numFmtId="168" formatCode="\$#,##0.00"/>
    <numFmt numFmtId="169" formatCode="0.0000"/>
    <numFmt numFmtId="170" formatCode="0.0"/>
    <numFmt numFmtId="171" formatCode="0.0\x"/>
    <numFmt numFmtId="172" formatCode="0.00"/>
    <numFmt numFmtId="173" formatCode="\$0.00"/>
    <numFmt numFmtId="174" formatCode="0.000000"/>
    <numFmt numFmtId="175" formatCode="0.0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i val="true"/>
      <sz val="11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999999"/>
      <name val="Cambria"/>
      <family val="0"/>
      <charset val="1"/>
    </font>
    <font>
      <sz val="11"/>
      <color rgb="FF999999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i val="true"/>
      <sz val="10"/>
      <name val="Cambria"/>
      <family val="0"/>
      <charset val="1"/>
    </font>
    <font>
      <sz val="11"/>
      <color rgb="FF80808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5E8F0"/>
      </patternFill>
    </fill>
    <fill>
      <patternFill patternType="solid">
        <fgColor rgb="FFB4C6E7"/>
        <bgColor rgb="FF99CCFF"/>
      </patternFill>
    </fill>
    <fill>
      <patternFill patternType="solid">
        <fgColor rgb="FFD5E8F0"/>
        <bgColor rgb="FFD9E1F2"/>
      </patternFill>
    </fill>
    <fill>
      <patternFill patternType="solid">
        <fgColor rgb="FFE8D5F0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D5E8F0"/>
      <rgbColor rgb="FF660066"/>
      <rgbColor rgb="FFFF8080"/>
      <rgbColor rgb="FF0066CC"/>
      <rgbColor rgb="FFE8D5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1" t="s">
        <v>1</v>
      </c>
    </row>
    <row r="4" customFormat="false" ht="1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6" customFormat="false" ht="15" hidden="false" customHeight="true" outlineLevel="0" collapsed="false">
      <c r="A6" s="4" t="s">
        <v>6</v>
      </c>
      <c r="B6" s="5"/>
      <c r="C6" s="5"/>
      <c r="D6" s="5"/>
    </row>
    <row r="7" customFormat="false" ht="15" hidden="false" customHeight="true" outlineLevel="0" collapsed="false">
      <c r="A7" s="1" t="s">
        <v>7</v>
      </c>
      <c r="B7" s="6" t="n">
        <v>100</v>
      </c>
      <c r="C7" s="1" t="s">
        <v>8</v>
      </c>
      <c r="D7" s="7" t="s">
        <v>9</v>
      </c>
    </row>
    <row r="8" customFormat="false" ht="15" hidden="false" customHeight="true" outlineLevel="0" collapsed="false">
      <c r="A8" s="1" t="s">
        <v>10</v>
      </c>
      <c r="B8" s="6" t="n">
        <v>100</v>
      </c>
      <c r="C8" s="1" t="s">
        <v>8</v>
      </c>
      <c r="D8" s="7" t="s">
        <v>11</v>
      </c>
    </row>
    <row r="9" customFormat="false" ht="15" hidden="false" customHeight="true" outlineLevel="0" collapsed="false">
      <c r="A9" s="1" t="s">
        <v>12</v>
      </c>
      <c r="B9" s="6" t="n">
        <v>200</v>
      </c>
      <c r="C9" s="1" t="s">
        <v>13</v>
      </c>
      <c r="D9" s="7" t="s">
        <v>14</v>
      </c>
    </row>
    <row r="10" customFormat="false" ht="15" hidden="false" customHeight="true" outlineLevel="0" collapsed="false">
      <c r="A10" s="1" t="s">
        <v>15</v>
      </c>
      <c r="B10" s="6" t="n">
        <v>400</v>
      </c>
      <c r="C10" s="1" t="s">
        <v>13</v>
      </c>
      <c r="D10" s="7" t="s">
        <v>14</v>
      </c>
    </row>
    <row r="12" customFormat="false" ht="15" hidden="false" customHeight="true" outlineLevel="0" collapsed="false">
      <c r="A12" s="4" t="s">
        <v>16</v>
      </c>
      <c r="B12" s="5"/>
      <c r="C12" s="5"/>
      <c r="D12" s="5"/>
    </row>
    <row r="13" customFormat="false" ht="15" hidden="false" customHeight="true" outlineLevel="0" collapsed="false">
      <c r="A13" s="1" t="s">
        <v>17</v>
      </c>
      <c r="B13" s="6" t="n">
        <v>580</v>
      </c>
      <c r="C13" s="1" t="s">
        <v>18</v>
      </c>
      <c r="D13" s="7" t="s">
        <v>19</v>
      </c>
    </row>
    <row r="14" customFormat="false" ht="15" hidden="false" customHeight="true" outlineLevel="0" collapsed="false">
      <c r="A14" s="1" t="s">
        <v>20</v>
      </c>
      <c r="B14" s="6" t="n">
        <v>406</v>
      </c>
      <c r="C14" s="1" t="s">
        <v>18</v>
      </c>
      <c r="D14" s="7" t="s">
        <v>21</v>
      </c>
    </row>
    <row r="15" customFormat="false" ht="15" hidden="false" customHeight="true" outlineLevel="0" collapsed="false">
      <c r="A15" s="1" t="s">
        <v>22</v>
      </c>
      <c r="B15" s="6" t="n">
        <v>309</v>
      </c>
      <c r="C15" s="1" t="s">
        <v>18</v>
      </c>
      <c r="D15" s="7" t="s">
        <v>23</v>
      </c>
    </row>
    <row r="16" customFormat="false" ht="15" hidden="false" customHeight="true" outlineLevel="0" collapsed="false">
      <c r="A16" s="1" t="s">
        <v>24</v>
      </c>
      <c r="B16" s="6" t="n">
        <v>269</v>
      </c>
      <c r="C16" s="1" t="s">
        <v>18</v>
      </c>
      <c r="D16" s="7" t="s">
        <v>23</v>
      </c>
    </row>
    <row r="17" customFormat="false" ht="15" hidden="false" customHeight="true" outlineLevel="0" collapsed="false">
      <c r="A17" s="1" t="s">
        <v>25</v>
      </c>
      <c r="B17" s="6" t="n">
        <v>271</v>
      </c>
      <c r="C17" s="1" t="s">
        <v>18</v>
      </c>
      <c r="D17" s="7" t="s">
        <v>23</v>
      </c>
    </row>
    <row r="18" customFormat="false" ht="15" hidden="false" customHeight="true" outlineLevel="0" collapsed="false">
      <c r="A18" s="1" t="s">
        <v>26</v>
      </c>
      <c r="B18" s="6" t="n">
        <v>137</v>
      </c>
      <c r="C18" s="1" t="s">
        <v>18</v>
      </c>
      <c r="D18" s="7" t="s">
        <v>23</v>
      </c>
    </row>
    <row r="19" customFormat="false" ht="15" hidden="false" customHeight="true" outlineLevel="0" collapsed="false">
      <c r="A19" s="8" t="s">
        <v>27</v>
      </c>
      <c r="B19" s="6" t="n">
        <v>195</v>
      </c>
      <c r="C19" s="1" t="s">
        <v>18</v>
      </c>
      <c r="D19" s="7" t="s">
        <v>28</v>
      </c>
    </row>
    <row r="20" customFormat="false" ht="15" hidden="false" customHeight="true" outlineLevel="0" collapsed="false">
      <c r="A20" s="8" t="s">
        <v>29</v>
      </c>
      <c r="B20" s="6" t="n">
        <v>168</v>
      </c>
      <c r="C20" s="1" t="s">
        <v>18</v>
      </c>
      <c r="D20" s="7" t="s">
        <v>28</v>
      </c>
    </row>
    <row r="21" customFormat="false" ht="15" hidden="false" customHeight="true" outlineLevel="0" collapsed="false">
      <c r="A21" s="8" t="s">
        <v>30</v>
      </c>
      <c r="B21" s="6" t="n">
        <v>157</v>
      </c>
      <c r="C21" s="1" t="s">
        <v>18</v>
      </c>
      <c r="D21" s="7" t="s">
        <v>31</v>
      </c>
    </row>
    <row r="22" customFormat="false" ht="15" hidden="false" customHeight="true" outlineLevel="0" collapsed="false">
      <c r="A22" s="8" t="s">
        <v>32</v>
      </c>
      <c r="B22" s="6" t="n">
        <v>106</v>
      </c>
      <c r="C22" s="1" t="s">
        <v>18</v>
      </c>
      <c r="D22" s="7" t="s">
        <v>31</v>
      </c>
    </row>
    <row r="24" customFormat="false" ht="15" hidden="false" customHeight="true" outlineLevel="0" collapsed="false">
      <c r="A24" s="4" t="s">
        <v>33</v>
      </c>
      <c r="B24" s="5"/>
      <c r="C24" s="5"/>
      <c r="D24" s="5"/>
    </row>
    <row r="25" customFormat="false" ht="15" hidden="false" customHeight="true" outlineLevel="0" collapsed="false">
      <c r="A25" s="1" t="s">
        <v>34</v>
      </c>
      <c r="B25" s="6" t="n">
        <v>0.015</v>
      </c>
      <c r="C25" s="1" t="s">
        <v>35</v>
      </c>
      <c r="D25" s="7" t="s">
        <v>36</v>
      </c>
    </row>
    <row r="26" customFormat="false" ht="15" hidden="false" customHeight="true" outlineLevel="0" collapsed="false">
      <c r="A26" s="1" t="s">
        <v>37</v>
      </c>
      <c r="B26" s="6" t="n">
        <v>0.02</v>
      </c>
      <c r="C26" s="1" t="s">
        <v>18</v>
      </c>
      <c r="D26" s="7" t="s">
        <v>38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4" t="s">
        <v>39</v>
      </c>
      <c r="B28" s="5"/>
      <c r="C28" s="5"/>
      <c r="D28" s="5"/>
    </row>
    <row r="29" customFormat="false" ht="15" hidden="false" customHeight="true" outlineLevel="0" collapsed="false">
      <c r="A29" s="1" t="s">
        <v>40</v>
      </c>
      <c r="B29" s="6" t="n">
        <v>24.98</v>
      </c>
      <c r="C29" s="1" t="s">
        <v>41</v>
      </c>
      <c r="D29" s="7" t="s">
        <v>42</v>
      </c>
    </row>
    <row r="30" customFormat="false" ht="15" hidden="false" customHeight="true" outlineLevel="0" collapsed="false">
      <c r="A30" s="1" t="s">
        <v>43</v>
      </c>
      <c r="B30" s="6" t="n">
        <v>35.9</v>
      </c>
      <c r="C30" s="1" t="s">
        <v>41</v>
      </c>
      <c r="D30" s="7" t="s">
        <v>42</v>
      </c>
    </row>
    <row r="31" customFormat="false" ht="15" hidden="false" customHeight="true" outlineLevel="0" collapsed="false">
      <c r="A31" s="1" t="s">
        <v>44</v>
      </c>
      <c r="B31" s="6" t="n">
        <v>34.44</v>
      </c>
      <c r="C31" s="1" t="s">
        <v>41</v>
      </c>
      <c r="D31" s="7" t="s">
        <v>42</v>
      </c>
    </row>
    <row r="32" customFormat="false" ht="15" hidden="false" customHeight="true" outlineLevel="0" collapsed="false">
      <c r="A32" s="1" t="s">
        <v>45</v>
      </c>
      <c r="B32" s="6" t="n">
        <v>42.5</v>
      </c>
      <c r="C32" s="1" t="s">
        <v>41</v>
      </c>
      <c r="D32" s="7" t="s">
        <v>42</v>
      </c>
    </row>
    <row r="33" customFormat="false" ht="15" hidden="false" customHeight="true" outlineLevel="0" collapsed="false">
      <c r="A33" s="1" t="s">
        <v>46</v>
      </c>
      <c r="B33" s="6" t="n">
        <v>48.93</v>
      </c>
      <c r="C33" s="1" t="s">
        <v>41</v>
      </c>
      <c r="D33" s="7" t="s">
        <v>42</v>
      </c>
    </row>
    <row r="34" customFormat="false" ht="15" hidden="false" customHeight="true" outlineLevel="0" collapsed="false">
      <c r="A34" s="1" t="s">
        <v>47</v>
      </c>
      <c r="B34" s="6" t="n">
        <v>36.31</v>
      </c>
      <c r="C34" s="1" t="s">
        <v>41</v>
      </c>
      <c r="D34" s="7" t="s">
        <v>42</v>
      </c>
    </row>
    <row r="35" customFormat="false" ht="15" hidden="false" customHeight="true" outlineLevel="0" collapsed="false">
      <c r="A35" s="1" t="s">
        <v>48</v>
      </c>
      <c r="B35" s="6" t="n">
        <v>48.51</v>
      </c>
      <c r="C35" s="1" t="s">
        <v>41</v>
      </c>
      <c r="D35" s="7" t="s">
        <v>42</v>
      </c>
    </row>
    <row r="36" customFormat="false" ht="15" hidden="false" customHeight="true" outlineLevel="0" collapsed="false">
      <c r="A36" s="8" t="s">
        <v>49</v>
      </c>
    </row>
    <row r="37" customFormat="false" ht="15" hidden="false" customHeight="true" outlineLevel="0" collapsed="false">
      <c r="A37" s="9" t="s">
        <v>50</v>
      </c>
      <c r="B37" s="5"/>
      <c r="C37" s="5"/>
      <c r="D37" s="5"/>
    </row>
    <row r="38" customFormat="false" ht="15" hidden="false" customHeight="true" outlineLevel="0" collapsed="false">
      <c r="A38" s="1" t="s">
        <v>51</v>
      </c>
      <c r="B38" s="6" t="n">
        <v>75.34</v>
      </c>
      <c r="C38" s="1" t="s">
        <v>41</v>
      </c>
      <c r="D38" s="7" t="s">
        <v>52</v>
      </c>
    </row>
    <row r="39" customFormat="false" ht="15" hidden="false" customHeight="true" outlineLevel="0" collapsed="false">
      <c r="A39" s="1" t="s">
        <v>53</v>
      </c>
      <c r="B39" s="6" t="n">
        <v>108.47</v>
      </c>
      <c r="C39" s="1" t="s">
        <v>41</v>
      </c>
      <c r="D39" s="7" t="s">
        <v>52</v>
      </c>
    </row>
    <row r="40" customFormat="false" ht="15" hidden="false" customHeight="true" outlineLevel="0" collapsed="false">
      <c r="A40" s="1" t="s">
        <v>54</v>
      </c>
      <c r="B40" s="6" t="n">
        <v>80.57</v>
      </c>
      <c r="C40" s="1" t="s">
        <v>41</v>
      </c>
      <c r="D40" s="7" t="s">
        <v>52</v>
      </c>
    </row>
    <row r="41" customFormat="false" ht="15" hidden="false" customHeight="true" outlineLevel="0" collapsed="false">
      <c r="A41" s="1" t="s">
        <v>55</v>
      </c>
      <c r="B41" s="6" t="n">
        <v>117.54</v>
      </c>
      <c r="C41" s="1" t="s">
        <v>41</v>
      </c>
      <c r="D41" s="7" t="s">
        <v>52</v>
      </c>
    </row>
    <row r="42" customFormat="false" ht="15" hidden="false" customHeight="true" outlineLevel="0" collapsed="false">
      <c r="A42" s="1" t="s">
        <v>56</v>
      </c>
      <c r="B42" s="6" t="n">
        <v>144.82</v>
      </c>
      <c r="C42" s="1" t="s">
        <v>41</v>
      </c>
      <c r="D42" s="7" t="s">
        <v>52</v>
      </c>
    </row>
    <row r="43" customFormat="false" ht="15" hidden="false" customHeight="true" outlineLevel="0" collapsed="false">
      <c r="A43" s="1" t="s">
        <v>57</v>
      </c>
      <c r="B43" s="6" t="n">
        <v>81.56</v>
      </c>
      <c r="C43" s="1" t="s">
        <v>41</v>
      </c>
      <c r="D43" s="1" t="s">
        <v>52</v>
      </c>
    </row>
    <row r="44" customFormat="false" ht="15" hidden="false" customHeight="true" outlineLevel="0" collapsed="false">
      <c r="A44" s="4" t="s">
        <v>58</v>
      </c>
      <c r="B44" s="10" t="n">
        <v>137.58</v>
      </c>
      <c r="C44" s="5" t="s">
        <v>41</v>
      </c>
      <c r="D44" s="5" t="s">
        <v>52</v>
      </c>
    </row>
    <row r="45" customFormat="false" ht="15" hidden="false" customHeight="true" outlineLevel="0" collapsed="false">
      <c r="A45" s="1" t="s">
        <v>59</v>
      </c>
      <c r="B45" s="6" t="n">
        <v>125</v>
      </c>
      <c r="C45" s="1" t="s">
        <v>60</v>
      </c>
      <c r="D45" s="7" t="s">
        <v>61</v>
      </c>
    </row>
    <row r="46" customFormat="false" ht="15" hidden="false" customHeight="true" outlineLevel="0" collapsed="false">
      <c r="A46" s="11" t="s">
        <v>62</v>
      </c>
      <c r="B46" s="6" t="n">
        <v>23</v>
      </c>
      <c r="C46" s="1" t="s">
        <v>60</v>
      </c>
      <c r="D46" s="7" t="s">
        <v>61</v>
      </c>
    </row>
    <row r="47" customFormat="false" ht="15" hidden="false" customHeight="true" outlineLevel="0" collapsed="false">
      <c r="A47" s="1" t="s">
        <v>5</v>
      </c>
      <c r="B47" s="6" t="s">
        <v>63</v>
      </c>
      <c r="C47" s="1" t="s">
        <v>64</v>
      </c>
      <c r="D47" s="7" t="s">
        <v>65</v>
      </c>
    </row>
    <row r="48" customFormat="false" ht="15" hidden="false" customHeight="true" outlineLevel="0" collapsed="false">
      <c r="A48" s="1" t="s">
        <v>66</v>
      </c>
      <c r="B48" s="6" t="n">
        <v>16</v>
      </c>
      <c r="C48" s="1" t="s">
        <v>67</v>
      </c>
      <c r="D48" s="7" t="s">
        <v>68</v>
      </c>
    </row>
    <row r="49" customFormat="false" ht="15" hidden="false" customHeight="true" outlineLevel="0" collapsed="false">
      <c r="A49" s="1" t="s">
        <v>69</v>
      </c>
      <c r="B49" s="6" t="n">
        <v>29</v>
      </c>
      <c r="C49" s="1" t="s">
        <v>67</v>
      </c>
      <c r="D49" s="7" t="s">
        <v>70</v>
      </c>
    </row>
    <row r="50" customFormat="false" ht="15" hidden="false" customHeight="true" outlineLevel="0" collapsed="false">
      <c r="A50" s="1" t="s">
        <v>71</v>
      </c>
      <c r="B50" s="6" t="n">
        <v>44.07</v>
      </c>
      <c r="C50" s="1" t="s">
        <v>67</v>
      </c>
    </row>
    <row r="51" customFormat="false" ht="15" hidden="false" customHeight="true" outlineLevel="0" collapsed="false">
      <c r="A51" s="1" t="s">
        <v>72</v>
      </c>
      <c r="B51" s="1" t="n">
        <v>28.07</v>
      </c>
      <c r="C51" s="1" t="s">
        <v>67</v>
      </c>
    </row>
    <row r="53" customFormat="false" ht="15" hidden="false" customHeight="true" outlineLevel="0" collapsed="false">
      <c r="A53" s="11" t="s">
        <v>73</v>
      </c>
    </row>
    <row r="54" customFormat="false" ht="15" hidden="false" customHeight="true" outlineLevel="0" collapsed="false">
      <c r="A54" s="1" t="s">
        <v>74</v>
      </c>
      <c r="B54" s="12" t="n">
        <v>1150</v>
      </c>
      <c r="C54" s="1" t="s">
        <v>75</v>
      </c>
      <c r="D54" s="1" t="s">
        <v>76</v>
      </c>
    </row>
    <row r="55" customFormat="false" ht="15" hidden="false" customHeight="true" outlineLevel="0" collapsed="false">
      <c r="A55" s="1" t="s">
        <v>77</v>
      </c>
      <c r="B55" s="1" t="n">
        <f aca="false">45000/(1+0.0653)^10</f>
        <v>23905.2474501137</v>
      </c>
      <c r="C55" s="1" t="s">
        <v>64</v>
      </c>
      <c r="D55" s="1" t="s">
        <v>76</v>
      </c>
    </row>
    <row r="57" customFormat="false" ht="15" hidden="false" customHeight="true" outlineLevel="0" collapsed="false">
      <c r="A57" s="11" t="s">
        <v>78</v>
      </c>
    </row>
    <row r="58" customFormat="false" ht="15" hidden="false" customHeight="true" outlineLevel="0" collapsed="false">
      <c r="A58" s="1" t="s">
        <v>79</v>
      </c>
      <c r="B58" s="12" t="n">
        <v>36190</v>
      </c>
      <c r="C58" s="1" t="s">
        <v>80</v>
      </c>
      <c r="D58" s="1" t="s">
        <v>81</v>
      </c>
    </row>
    <row r="59" customFormat="false" ht="15" hidden="false" customHeight="true" outlineLevel="0" collapsed="false">
      <c r="A59" s="1" t="s">
        <v>82</v>
      </c>
      <c r="B59" s="12" t="n">
        <v>38661</v>
      </c>
      <c r="C59" s="1" t="s">
        <v>80</v>
      </c>
      <c r="D59" s="1" t="s">
        <v>83</v>
      </c>
    </row>
    <row r="60" customFormat="false" ht="15" hidden="false" customHeight="true" outlineLevel="0" collapsed="false">
      <c r="A60" s="1" t="s">
        <v>84</v>
      </c>
      <c r="B60" s="12" t="n">
        <v>37422</v>
      </c>
      <c r="C60" s="1" t="s">
        <v>80</v>
      </c>
      <c r="D60" s="1" t="s">
        <v>85</v>
      </c>
    </row>
    <row r="61" customFormat="false" ht="15" hidden="false" customHeight="true" outlineLevel="0" collapsed="false">
      <c r="A61" s="1" t="s">
        <v>86</v>
      </c>
      <c r="B61" s="12" t="n">
        <v>13303</v>
      </c>
      <c r="C61" s="1" t="s">
        <v>80</v>
      </c>
      <c r="D61" s="1" t="s">
        <v>87</v>
      </c>
    </row>
    <row r="62" customFormat="false" ht="15" hidden="false" customHeight="true" outlineLevel="0" collapsed="false">
      <c r="A62" s="1" t="s">
        <v>88</v>
      </c>
      <c r="B62" s="12" t="n">
        <v>1239</v>
      </c>
      <c r="C62" s="1" t="s">
        <v>80</v>
      </c>
      <c r="D62" s="1" t="s">
        <v>89</v>
      </c>
    </row>
    <row r="64" customFormat="false" ht="15" hidden="false" customHeight="true" outlineLevel="0" collapsed="false">
      <c r="A64" s="11" t="s">
        <v>90</v>
      </c>
    </row>
    <row r="65" customFormat="false" ht="15" hidden="false" customHeight="true" outlineLevel="0" collapsed="false">
      <c r="A65" s="1" t="s">
        <v>91</v>
      </c>
      <c r="B65" s="1" t="n">
        <v>0.596</v>
      </c>
      <c r="D65" s="1" t="s">
        <v>92</v>
      </c>
    </row>
    <row r="66" customFormat="false" ht="15" hidden="false" customHeight="true" outlineLevel="0" collapsed="false">
      <c r="A66" s="1" t="s">
        <v>93</v>
      </c>
      <c r="B66" s="1" t="n">
        <v>0.931</v>
      </c>
      <c r="D66" s="1" t="s">
        <v>94</v>
      </c>
    </row>
    <row r="67" customFormat="false" ht="15" hidden="false" customHeight="true" outlineLevel="0" collapsed="false">
      <c r="A67" s="1" t="s">
        <v>95</v>
      </c>
      <c r="B67" s="1" t="n">
        <v>0.954</v>
      </c>
      <c r="D67" s="1" t="s">
        <v>96</v>
      </c>
    </row>
    <row r="68" customFormat="false" ht="15" hidden="false" customHeight="true" outlineLevel="0" collapsed="false">
      <c r="A68" s="1" t="s">
        <v>97</v>
      </c>
      <c r="B68" s="1" t="n">
        <v>0.988</v>
      </c>
      <c r="D68" s="1" t="s">
        <v>98</v>
      </c>
    </row>
    <row r="69" customFormat="false" ht="15" hidden="false" customHeight="true" outlineLevel="0" collapsed="false">
      <c r="A69" s="1" t="s">
        <v>99</v>
      </c>
      <c r="B69" s="1" t="n">
        <v>0.993</v>
      </c>
      <c r="D69" s="1" t="s">
        <v>100</v>
      </c>
    </row>
    <row r="71" customFormat="false" ht="15" hidden="false" customHeight="true" outlineLevel="0" collapsed="false">
      <c r="A71" s="11" t="s">
        <v>101</v>
      </c>
    </row>
    <row r="72" customFormat="false" ht="15" hidden="false" customHeight="true" outlineLevel="0" collapsed="false">
      <c r="A72" s="1" t="s">
        <v>102</v>
      </c>
      <c r="B72" s="12" t="n">
        <v>3242</v>
      </c>
      <c r="D72" s="1" t="s">
        <v>103</v>
      </c>
    </row>
    <row r="73" customFormat="false" ht="15" hidden="false" customHeight="true" outlineLevel="0" collapsed="false">
      <c r="A73" s="1" t="s">
        <v>104</v>
      </c>
      <c r="B73" s="12" t="n">
        <v>3021</v>
      </c>
      <c r="D73" s="1" t="s">
        <v>105</v>
      </c>
    </row>
    <row r="74" customFormat="false" ht="15" hidden="false" customHeight="true" outlineLevel="0" collapsed="false">
      <c r="A74" s="1" t="s">
        <v>106</v>
      </c>
      <c r="B74" s="1" t="n">
        <v>0</v>
      </c>
      <c r="D74" s="1" t="s">
        <v>107</v>
      </c>
    </row>
    <row r="75" customFormat="false" ht="15" hidden="false" customHeight="true" outlineLevel="0" collapsed="false">
      <c r="A75" s="1" t="s">
        <v>108</v>
      </c>
      <c r="B75" s="1" t="s">
        <v>109</v>
      </c>
      <c r="D75" s="1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2" min="2" style="1" width="14"/>
  </cols>
  <sheetData>
    <row r="1" customFormat="false" ht="17.25" hidden="false" customHeight="true" outlineLevel="0" collapsed="false">
      <c r="A1" s="2" t="s">
        <v>111</v>
      </c>
    </row>
    <row r="2" customFormat="false" ht="15" hidden="false" customHeight="true" outlineLevel="0" collapsed="false">
      <c r="A2" s="1" t="s">
        <v>112</v>
      </c>
    </row>
    <row r="4" customFormat="false" ht="15" hidden="false" customHeight="true" outlineLevel="0" collapsed="false">
      <c r="A4" s="3"/>
      <c r="B4" s="3" t="s">
        <v>3</v>
      </c>
      <c r="C4" s="3" t="s">
        <v>4</v>
      </c>
      <c r="D4" s="3" t="s">
        <v>5</v>
      </c>
    </row>
    <row r="5" customFormat="false" ht="15" hidden="false" customHeight="true" outlineLevel="0" collapsed="false">
      <c r="A5" s="1" t="s">
        <v>113</v>
      </c>
      <c r="B5" s="6" t="n">
        <v>200</v>
      </c>
      <c r="C5" s="1" t="s">
        <v>13</v>
      </c>
      <c r="D5" s="7"/>
    </row>
    <row r="6" customFormat="false" ht="15" hidden="false" customHeight="true" outlineLevel="0" collapsed="false">
      <c r="A6" s="1" t="s">
        <v>114</v>
      </c>
      <c r="B6" s="6" t="n">
        <v>580</v>
      </c>
      <c r="C6" s="1" t="s">
        <v>18</v>
      </c>
      <c r="D6" s="7" t="s">
        <v>115</v>
      </c>
    </row>
    <row r="7" customFormat="false" ht="15" hidden="false" customHeight="true" outlineLevel="0" collapsed="false">
      <c r="A7" s="1" t="s">
        <v>116</v>
      </c>
      <c r="B7" s="13" t="n">
        <f aca="false">B5*B6</f>
        <v>116000</v>
      </c>
      <c r="C7" s="1" t="s">
        <v>64</v>
      </c>
      <c r="D7" s="7"/>
    </row>
    <row r="8" customFormat="false" ht="15" hidden="false" customHeight="true" outlineLevel="0" collapsed="false">
      <c r="A8" s="1" t="s">
        <v>117</v>
      </c>
      <c r="B8" s="6" t="n">
        <v>36.31</v>
      </c>
      <c r="C8" s="1" t="s">
        <v>41</v>
      </c>
      <c r="D8" s="7" t="s">
        <v>118</v>
      </c>
    </row>
    <row r="9" customFormat="false" ht="15" hidden="false" customHeight="true" outlineLevel="0" collapsed="false">
      <c r="A9" s="1" t="s">
        <v>119</v>
      </c>
      <c r="B9" s="6" t="n">
        <v>0.015</v>
      </c>
      <c r="C9" s="1" t="s">
        <v>120</v>
      </c>
      <c r="D9" s="7" t="s">
        <v>121</v>
      </c>
    </row>
    <row r="10" customFormat="false" ht="15" hidden="false" customHeight="true" outlineLevel="0" collapsed="false">
      <c r="A10" s="1" t="s">
        <v>122</v>
      </c>
      <c r="B10" s="6" t="n">
        <v>0.0653</v>
      </c>
      <c r="D10" s="7" t="s">
        <v>123</v>
      </c>
    </row>
    <row r="11" customFormat="false" ht="15" hidden="false" customHeight="true" outlineLevel="0" collapsed="false">
      <c r="A11" s="1" t="s">
        <v>124</v>
      </c>
      <c r="B11" s="6" t="n">
        <v>0.02</v>
      </c>
      <c r="C11" s="1" t="s">
        <v>125</v>
      </c>
      <c r="D11" s="7" t="s">
        <v>126</v>
      </c>
    </row>
    <row r="12" customFormat="false" ht="15" hidden="false" customHeight="true" outlineLevel="0" collapsed="false">
      <c r="A12" s="1" t="s">
        <v>127</v>
      </c>
      <c r="B12" s="6" t="n">
        <v>12</v>
      </c>
      <c r="D12" s="7"/>
    </row>
    <row r="13" customFormat="false" ht="15" hidden="false" customHeight="true" outlineLevel="0" collapsed="false">
      <c r="A13" s="1" t="s">
        <v>128</v>
      </c>
      <c r="B13" s="6" t="n">
        <v>195</v>
      </c>
      <c r="C13" s="1" t="s">
        <v>18</v>
      </c>
      <c r="D13" s="7" t="s">
        <v>129</v>
      </c>
    </row>
    <row r="14" customFormat="false" ht="15" hidden="false" customHeight="true" outlineLevel="0" collapsed="false">
      <c r="A14" s="1" t="s">
        <v>130</v>
      </c>
      <c r="B14" s="6" t="n">
        <v>50</v>
      </c>
      <c r="C14" s="1" t="s">
        <v>8</v>
      </c>
      <c r="D14" s="7" t="s">
        <v>131</v>
      </c>
    </row>
    <row r="15" customFormat="false" ht="15" hidden="false" customHeight="true" outlineLevel="0" collapsed="false">
      <c r="A15" s="1" t="s">
        <v>132</v>
      </c>
      <c r="B15" s="6" t="n">
        <v>23</v>
      </c>
      <c r="C15" s="1" t="s">
        <v>60</v>
      </c>
      <c r="D15" s="7" t="s">
        <v>61</v>
      </c>
    </row>
    <row r="16" customFormat="false" ht="15" hidden="false" customHeight="true" outlineLevel="0" collapsed="false">
      <c r="A16" s="1" t="s">
        <v>77</v>
      </c>
      <c r="B16" s="13" t="n">
        <f aca="false">45000*(1-1/(1+B10)^10)</f>
        <v>21094.7525498863</v>
      </c>
      <c r="C16" s="1" t="s">
        <v>64</v>
      </c>
      <c r="D16" s="7"/>
    </row>
    <row r="18" customFormat="false" ht="15" hidden="false" customHeight="true" outlineLevel="0" collapsed="false">
      <c r="A18" s="4" t="s">
        <v>133</v>
      </c>
      <c r="B18" s="5"/>
      <c r="C18" s="5"/>
      <c r="D18" s="5"/>
    </row>
    <row r="19" customFormat="false" ht="27.75" hidden="false" customHeight="true" outlineLevel="0" collapsed="false">
      <c r="A19" s="14" t="s">
        <v>134</v>
      </c>
      <c r="B19" s="14" t="s">
        <v>135</v>
      </c>
      <c r="C19" s="14" t="s">
        <v>136</v>
      </c>
      <c r="D19" s="14" t="s">
        <v>137</v>
      </c>
      <c r="E19" s="15" t="s">
        <v>138</v>
      </c>
      <c r="F19" s="14" t="s">
        <v>139</v>
      </c>
      <c r="G19" s="14" t="s">
        <v>140</v>
      </c>
      <c r="H19" s="14" t="s">
        <v>141</v>
      </c>
      <c r="I19" s="14" t="s">
        <v>142</v>
      </c>
      <c r="J19" s="14" t="s">
        <v>143</v>
      </c>
      <c r="K19" s="14" t="s">
        <v>144</v>
      </c>
    </row>
    <row r="20" customFormat="false" ht="15" hidden="false" customHeight="true" outlineLevel="0" collapsed="false">
      <c r="A20" s="1" t="n">
        <v>0</v>
      </c>
      <c r="G20" s="16" t="n">
        <f aca="false">-B7</f>
        <v>-116000</v>
      </c>
      <c r="H20" s="16" t="n">
        <f aca="false">G20</f>
        <v>-116000</v>
      </c>
      <c r="I20" s="1" t="n">
        <v>1</v>
      </c>
      <c r="J20" s="16" t="n">
        <f aca="false">H20*I20</f>
        <v>-116000</v>
      </c>
      <c r="K20" s="16" t="n">
        <f aca="false">J20</f>
        <v>-116000</v>
      </c>
    </row>
    <row r="21" customFormat="false" ht="15" hidden="false" customHeight="true" outlineLevel="0" collapsed="false">
      <c r="A21" s="1" t="n">
        <v>1</v>
      </c>
      <c r="B21" s="17" t="n">
        <f aca="false">IF(A21&lt;=$B$12, MAX(0.7, 1-$B$11*A21), MAX(0.7, 1-$B$11*(A21-$B$12)))</f>
        <v>0.98</v>
      </c>
      <c r="C21" s="18" t="n">
        <f aca="false">$B$8*B21</f>
        <v>35.5838</v>
      </c>
      <c r="D21" s="16" t="n">
        <f aca="false">C21*365</f>
        <v>12988.087</v>
      </c>
      <c r="E21" s="19" t="n">
        <f aca="false">$B$14*$B$15</f>
        <v>1150</v>
      </c>
      <c r="F21" s="16" t="n">
        <f aca="false">-$B$9*$B$7</f>
        <v>-1740</v>
      </c>
      <c r="G21" s="1" t="n">
        <v>0</v>
      </c>
      <c r="H21" s="16" t="n">
        <f aca="false">D21+F21+G21</f>
        <v>11248.087</v>
      </c>
      <c r="I21" s="20" t="n">
        <f aca="false">1/(1+$B$10)^A21</f>
        <v>0.93870271285084</v>
      </c>
      <c r="J21" s="16" t="n">
        <f aca="false">H21*I21</f>
        <v>10558.6097812823</v>
      </c>
      <c r="K21" s="16" t="n">
        <f aca="false">K20+J21</f>
        <v>-105441.390218718</v>
      </c>
    </row>
    <row r="22" customFormat="false" ht="15" hidden="false" customHeight="true" outlineLevel="0" collapsed="false">
      <c r="A22" s="1" t="n">
        <v>2</v>
      </c>
      <c r="B22" s="17" t="n">
        <f aca="false">IF(A22&lt;=$B$12, MAX(0.7, 1-$B$11*A22), MAX(0.7, 1-$B$11*(A22-$B$12)))</f>
        <v>0.96</v>
      </c>
      <c r="C22" s="18" t="n">
        <f aca="false">$B$8*B22</f>
        <v>34.8576</v>
      </c>
      <c r="D22" s="16" t="n">
        <f aca="false">C22*365</f>
        <v>12723.024</v>
      </c>
      <c r="E22" s="19" t="n">
        <f aca="false">$B$14*$B$15</f>
        <v>1150</v>
      </c>
      <c r="F22" s="16" t="n">
        <f aca="false">-$B$9*$B$7</f>
        <v>-1740</v>
      </c>
      <c r="G22" s="1" t="n">
        <v>0</v>
      </c>
      <c r="H22" s="16" t="n">
        <f aca="false">D22+F22+G22</f>
        <v>10983.024</v>
      </c>
      <c r="I22" s="20" t="n">
        <f aca="false">1/(1+$B$10)^A22</f>
        <v>0.881162783113527</v>
      </c>
      <c r="J22" s="16" t="n">
        <f aca="false">H22*I22</f>
        <v>9677.83199484266</v>
      </c>
      <c r="K22" s="16" t="n">
        <f aca="false">K21+J22</f>
        <v>-95763.5582238751</v>
      </c>
    </row>
    <row r="23" customFormat="false" ht="15" hidden="false" customHeight="true" outlineLevel="0" collapsed="false">
      <c r="A23" s="1" t="n">
        <v>3</v>
      </c>
      <c r="B23" s="17" t="n">
        <f aca="false">IF(A23&lt;=$B$12, MAX(0.7, 1-$B$11*A23), MAX(0.7, 1-$B$11*(A23-$B$12)))</f>
        <v>0.94</v>
      </c>
      <c r="C23" s="18" t="n">
        <f aca="false">$B$8*B23</f>
        <v>34.1314</v>
      </c>
      <c r="D23" s="16" t="n">
        <f aca="false">C23*365</f>
        <v>12457.961</v>
      </c>
      <c r="E23" s="19" t="n">
        <f aca="false">$B$14*$B$15</f>
        <v>1150</v>
      </c>
      <c r="F23" s="16" t="n">
        <f aca="false">-$B$9*$B$7</f>
        <v>-1740</v>
      </c>
      <c r="G23" s="1" t="n">
        <v>0</v>
      </c>
      <c r="H23" s="16" t="n">
        <f aca="false">D23+F23+G23</f>
        <v>10717.961</v>
      </c>
      <c r="I23" s="20" t="n">
        <f aca="false">1/(1+$B$10)^A23</f>
        <v>0.827149894971864</v>
      </c>
      <c r="J23" s="16" t="n">
        <f aca="false">H23*I23</f>
        <v>8865.36031546254</v>
      </c>
      <c r="K23" s="16" t="n">
        <f aca="false">K22+J23</f>
        <v>-86898.1979084125</v>
      </c>
    </row>
    <row r="24" customFormat="false" ht="15" hidden="false" customHeight="true" outlineLevel="0" collapsed="false">
      <c r="A24" s="1" t="n">
        <v>4</v>
      </c>
      <c r="B24" s="17" t="n">
        <f aca="false">IF(A24&lt;=$B$12, MAX(0.7, 1-$B$11*A24), MAX(0.7, 1-$B$11*(A24-$B$12)))</f>
        <v>0.92</v>
      </c>
      <c r="C24" s="18" t="n">
        <f aca="false">$B$8*B24</f>
        <v>33.4052</v>
      </c>
      <c r="D24" s="16" t="n">
        <f aca="false">C24*365</f>
        <v>12192.898</v>
      </c>
      <c r="E24" s="19" t="n">
        <f aca="false">$B$14*$B$15</f>
        <v>1150</v>
      </c>
      <c r="F24" s="16" t="n">
        <f aca="false">-$B$9*$B$7</f>
        <v>-1740</v>
      </c>
      <c r="G24" s="1" t="n">
        <v>0</v>
      </c>
      <c r="H24" s="16" t="n">
        <f aca="false">D24+F24+G24</f>
        <v>10452.898</v>
      </c>
      <c r="I24" s="20" t="n">
        <f aca="false">1/(1+$B$10)^A24</f>
        <v>0.776447850344377</v>
      </c>
      <c r="J24" s="16" t="n">
        <f aca="false">H24*I24</f>
        <v>8116.13018196904</v>
      </c>
      <c r="K24" s="16" t="n">
        <f aca="false">K23+J24</f>
        <v>-78782.0677264435</v>
      </c>
    </row>
    <row r="25" customFormat="false" ht="15" hidden="false" customHeight="true" outlineLevel="0" collapsed="false">
      <c r="A25" s="1" t="n">
        <v>5</v>
      </c>
      <c r="B25" s="17" t="n">
        <f aca="false">IF(A25&lt;=$B$12, MAX(0.7, 1-$B$11*A25), MAX(0.7, 1-$B$11*(A25-$B$12)))</f>
        <v>0.9</v>
      </c>
      <c r="C25" s="18" t="n">
        <f aca="false">$B$8*B25</f>
        <v>32.679</v>
      </c>
      <c r="D25" s="16" t="n">
        <f aca="false">C25*365</f>
        <v>11927.835</v>
      </c>
      <c r="E25" s="19" t="n">
        <f aca="false">$B$14*$B$15</f>
        <v>1150</v>
      </c>
      <c r="F25" s="16" t="n">
        <f aca="false">-$B$9*$B$7</f>
        <v>-1740</v>
      </c>
      <c r="G25" s="1" t="n">
        <v>0</v>
      </c>
      <c r="H25" s="16" t="n">
        <f aca="false">D25+F25+G25</f>
        <v>10187.835</v>
      </c>
      <c r="I25" s="20" t="n">
        <f aca="false">1/(1+$B$10)^A25</f>
        <v>0.72885370350547</v>
      </c>
      <c r="J25" s="16" t="n">
        <f aca="false">H25*I25</f>
        <v>7425.44127045265</v>
      </c>
      <c r="K25" s="16" t="n">
        <f aca="false">K24+J25</f>
        <v>-71356.6264559908</v>
      </c>
    </row>
    <row r="26" customFormat="false" ht="15" hidden="false" customHeight="true" outlineLevel="0" collapsed="false">
      <c r="A26" s="1" t="n">
        <v>6</v>
      </c>
      <c r="B26" s="17" t="n">
        <f aca="false">IF(A26&lt;=$B$12, MAX(0.7, 1-$B$11*A26), MAX(0.7, 1-$B$11*(A26-$B$12)))</f>
        <v>0.88</v>
      </c>
      <c r="C26" s="18" t="n">
        <f aca="false">$B$8*B26</f>
        <v>31.9528</v>
      </c>
      <c r="D26" s="16" t="n">
        <f aca="false">C26*365</f>
        <v>11662.772</v>
      </c>
      <c r="E26" s="19" t="n">
        <f aca="false">$B$14*$B$15</f>
        <v>1150</v>
      </c>
      <c r="F26" s="16" t="n">
        <f aca="false">-$B$9*$B$7</f>
        <v>-1740</v>
      </c>
      <c r="G26" s="1" t="n">
        <v>0</v>
      </c>
      <c r="H26" s="16" t="n">
        <f aca="false">D26+F26+G26</f>
        <v>9922.772</v>
      </c>
      <c r="I26" s="20" t="n">
        <f aca="false">1/(1+$B$10)^A26</f>
        <v>0.684176948751966</v>
      </c>
      <c r="J26" s="16" t="n">
        <f aca="false">H26*I26</f>
        <v>6788.93187012145</v>
      </c>
      <c r="K26" s="16" t="n">
        <f aca="false">K25+J26</f>
        <v>-64567.6945858694</v>
      </c>
    </row>
    <row r="27" customFormat="false" ht="15" hidden="false" customHeight="true" outlineLevel="0" collapsed="false">
      <c r="A27" s="1" t="n">
        <v>7</v>
      </c>
      <c r="B27" s="17" t="n">
        <f aca="false">IF(A27&lt;=$B$12, MAX(0.7, 1-$B$11*A27), MAX(0.7, 1-$B$11*(A27-$B$12)))</f>
        <v>0.86</v>
      </c>
      <c r="C27" s="18" t="n">
        <f aca="false">$B$8*B27</f>
        <v>31.2266</v>
      </c>
      <c r="D27" s="16" t="n">
        <f aca="false">C27*365</f>
        <v>11397.709</v>
      </c>
      <c r="E27" s="19" t="n">
        <f aca="false">$B$14*$B$15</f>
        <v>1150</v>
      </c>
      <c r="F27" s="16" t="n">
        <f aca="false">-$B$9*$B$7</f>
        <v>-1740</v>
      </c>
      <c r="G27" s="1" t="n">
        <v>0</v>
      </c>
      <c r="H27" s="16" t="n">
        <f aca="false">D27+F27+G27</f>
        <v>9657.709</v>
      </c>
      <c r="I27" s="20" t="n">
        <f aca="false">1/(1+$B$10)^A27</f>
        <v>0.642238757863481</v>
      </c>
      <c r="J27" s="16" t="n">
        <f aca="false">H27*I27</f>
        <v>6202.55503196696</v>
      </c>
      <c r="K27" s="16" t="n">
        <f aca="false">K26+J27</f>
        <v>-58365.1395539024</v>
      </c>
    </row>
    <row r="28" customFormat="false" ht="15" hidden="false" customHeight="true" outlineLevel="0" collapsed="false">
      <c r="A28" s="1" t="n">
        <v>8</v>
      </c>
      <c r="B28" s="17" t="n">
        <f aca="false">IF(A28&lt;=$B$12, MAX(0.7, 1-$B$11*A28), MAX(0.7, 1-$B$11*(A28-$B$12)))</f>
        <v>0.84</v>
      </c>
      <c r="C28" s="18" t="n">
        <f aca="false">$B$8*B28</f>
        <v>30.5004</v>
      </c>
      <c r="D28" s="16" t="n">
        <f aca="false">C28*365</f>
        <v>11132.646</v>
      </c>
      <c r="E28" s="19" t="n">
        <f aca="false">$B$14*$B$15</f>
        <v>1150</v>
      </c>
      <c r="F28" s="16" t="n">
        <f aca="false">-$B$9*$B$7</f>
        <v>-1740</v>
      </c>
      <c r="G28" s="1" t="n">
        <v>0</v>
      </c>
      <c r="H28" s="16" t="n">
        <f aca="false">D28+F28+G28</f>
        <v>9392.646</v>
      </c>
      <c r="I28" s="20" t="n">
        <f aca="false">1/(1+$B$10)^A28</f>
        <v>0.602871264304403</v>
      </c>
      <c r="J28" s="16" t="n">
        <f aca="false">H28*I28</f>
        <v>5662.5563691837</v>
      </c>
      <c r="K28" s="16" t="n">
        <f aca="false">K27+J28</f>
        <v>-52702.5831847187</v>
      </c>
    </row>
    <row r="29" customFormat="false" ht="15" hidden="false" customHeight="true" outlineLevel="0" collapsed="false">
      <c r="A29" s="1" t="n">
        <v>9</v>
      </c>
      <c r="B29" s="17" t="n">
        <f aca="false">IF(A29&lt;=$B$12, MAX(0.7, 1-$B$11*A29), MAX(0.7, 1-$B$11*(A29-$B$12)))</f>
        <v>0.82</v>
      </c>
      <c r="C29" s="18" t="n">
        <f aca="false">$B$8*B29</f>
        <v>29.7742</v>
      </c>
      <c r="D29" s="16" t="n">
        <f aca="false">C29*365</f>
        <v>10867.583</v>
      </c>
      <c r="E29" s="19" t="n">
        <f aca="false">$B$14*$B$15</f>
        <v>1150</v>
      </c>
      <c r="F29" s="16" t="n">
        <f aca="false">-$B$9*$B$7</f>
        <v>-1740</v>
      </c>
      <c r="G29" s="1" t="n">
        <v>0</v>
      </c>
      <c r="H29" s="16" t="n">
        <f aca="false">D29+F29+G29</f>
        <v>9127.583</v>
      </c>
      <c r="I29" s="20" t="n">
        <f aca="false">1/(1+$B$10)^A29</f>
        <v>0.565916891302359</v>
      </c>
      <c r="J29" s="16" t="n">
        <f aca="false">H29*I29</f>
        <v>5165.45339646427</v>
      </c>
      <c r="K29" s="16" t="n">
        <f aca="false">K28+J29</f>
        <v>-47537.1297882545</v>
      </c>
    </row>
    <row r="30" customFormat="false" ht="15" hidden="false" customHeight="true" outlineLevel="0" collapsed="false">
      <c r="A30" s="1" t="n">
        <v>10</v>
      </c>
      <c r="B30" s="17" t="n">
        <f aca="false">IF(A30&lt;=$B$12, MAX(0.7, 1-$B$11*A30), MAX(0.7, 1-$B$11*(A30-$B$12)))</f>
        <v>0.8</v>
      </c>
      <c r="C30" s="18" t="n">
        <f aca="false">$B$8*B30</f>
        <v>29.048</v>
      </c>
      <c r="D30" s="16" t="n">
        <f aca="false">C30*365</f>
        <v>10602.52</v>
      </c>
      <c r="E30" s="19" t="n">
        <f aca="false">$B$14*$B$15</f>
        <v>1150</v>
      </c>
      <c r="F30" s="16" t="n">
        <f aca="false">-$B$9*$B$7</f>
        <v>-1740</v>
      </c>
      <c r="G30" s="1" t="n">
        <v>0</v>
      </c>
      <c r="H30" s="16" t="n">
        <f aca="false">D30+F30+G30</f>
        <v>8862.52</v>
      </c>
      <c r="I30" s="20" t="n">
        <f aca="false">1/(1+$B$10)^A30</f>
        <v>0.531227721113639</v>
      </c>
      <c r="J30" s="16" t="n">
        <f aca="false">H30*I30</f>
        <v>4708.01630292405</v>
      </c>
      <c r="K30" s="16" t="n">
        <f aca="false">K29+J30</f>
        <v>-42829.1134853304</v>
      </c>
    </row>
    <row r="31" customFormat="false" ht="15" hidden="false" customHeight="true" outlineLevel="0" collapsed="false">
      <c r="A31" s="1" t="n">
        <v>11</v>
      </c>
      <c r="B31" s="17" t="n">
        <f aca="false">IF(A31&lt;=$B$12, MAX(0.7, 1-$B$11*A31), MAX(0.7, 1-$B$11*(A31-$B$12)))</f>
        <v>0.78</v>
      </c>
      <c r="C31" s="18" t="n">
        <f aca="false">$B$8*B31</f>
        <v>28.3218</v>
      </c>
      <c r="D31" s="16" t="n">
        <f aca="false">C31*365</f>
        <v>10337.457</v>
      </c>
      <c r="E31" s="19" t="n">
        <f aca="false">$B$14*$B$15</f>
        <v>1150</v>
      </c>
      <c r="F31" s="16" t="n">
        <f aca="false">-$B$9*$B$7</f>
        <v>-1740</v>
      </c>
      <c r="G31" s="1" t="n">
        <v>0</v>
      </c>
      <c r="H31" s="16" t="n">
        <f aca="false">D31+F31+G31</f>
        <v>8597.457</v>
      </c>
      <c r="I31" s="20" t="n">
        <f aca="false">1/(1+$B$10)^A31</f>
        <v>0.498664902950942</v>
      </c>
      <c r="J31" s="16" t="n">
        <f aca="false">H31*I31</f>
        <v>4287.2500605299</v>
      </c>
      <c r="K31" s="16" t="n">
        <f aca="false">K30+J31</f>
        <v>-38541.8634248005</v>
      </c>
    </row>
    <row r="32" customFormat="false" ht="15" hidden="false" customHeight="true" outlineLevel="0" collapsed="false">
      <c r="A32" s="1" t="n">
        <v>12</v>
      </c>
      <c r="B32" s="17" t="n">
        <f aca="false">IF(A32&lt;=$B$12, MAX(0.7, 1-$B$11*A32), MAX(0.7, 1-$B$11*(A32-$B$12)))</f>
        <v>0.76</v>
      </c>
      <c r="C32" s="18" t="n">
        <f aca="false">$B$8*B32</f>
        <v>27.5956</v>
      </c>
      <c r="D32" s="16" t="n">
        <f aca="false">C32*365</f>
        <v>10072.394</v>
      </c>
      <c r="E32" s="19" t="n">
        <f aca="false">$B$14*$B$15</f>
        <v>1150</v>
      </c>
      <c r="F32" s="16" t="n">
        <f aca="false">-$B$9*$B$7</f>
        <v>-1740</v>
      </c>
      <c r="G32" s="16" t="n">
        <f aca="false">-$B$13*$B$5</f>
        <v>-39000</v>
      </c>
      <c r="H32" s="16" t="n">
        <f aca="false">D32+F32+G32</f>
        <v>-30667.606</v>
      </c>
      <c r="I32" s="20" t="n">
        <f aca="false">1/(1+$B$10)^A32</f>
        <v>0.468098097203551</v>
      </c>
      <c r="J32" s="16" t="n">
        <f aca="false">H32*I32</f>
        <v>-14355.4480143882</v>
      </c>
      <c r="K32" s="16" t="n">
        <f aca="false">K31+J32</f>
        <v>-52897.3114391887</v>
      </c>
    </row>
    <row r="33" customFormat="false" ht="15" hidden="false" customHeight="true" outlineLevel="0" collapsed="false">
      <c r="A33" s="1" t="n">
        <v>13</v>
      </c>
      <c r="B33" s="17" t="n">
        <f aca="false">IF(A33&lt;=$B$12, MAX(0.7, 1-$B$11*A33), MAX(0.7, 1-$B$11*(A33-$B$12)))</f>
        <v>0.98</v>
      </c>
      <c r="C33" s="18" t="n">
        <f aca="false">$B$8*B33</f>
        <v>35.5838</v>
      </c>
      <c r="D33" s="16" t="n">
        <f aca="false">C33*365</f>
        <v>12988.087</v>
      </c>
      <c r="E33" s="19" t="n">
        <f aca="false">$B$14*$B$15</f>
        <v>1150</v>
      </c>
      <c r="F33" s="16" t="n">
        <f aca="false">-$B$9*$B$7</f>
        <v>-1740</v>
      </c>
      <c r="G33" s="1" t="n">
        <v>0</v>
      </c>
      <c r="H33" s="16" t="n">
        <f aca="false">D33+F33+G33</f>
        <v>11248.087</v>
      </c>
      <c r="I33" s="20" t="n">
        <f aca="false">1/(1+$B$10)^A33</f>
        <v>0.439404953725289</v>
      </c>
      <c r="J33" s="16" t="n">
        <f aca="false">H33*I33</f>
        <v>4942.46514773303</v>
      </c>
      <c r="K33" s="16" t="n">
        <f aca="false">K32+J33</f>
        <v>-47954.8462914557</v>
      </c>
    </row>
    <row r="34" customFormat="false" ht="15" hidden="false" customHeight="true" outlineLevel="0" collapsed="false">
      <c r="A34" s="1" t="n">
        <v>14</v>
      </c>
      <c r="B34" s="17" t="n">
        <f aca="false">IF(A34&lt;=$B$12, MAX(0.7, 1-$B$11*A34), MAX(0.7, 1-$B$11*(A34-$B$12)))</f>
        <v>0.96</v>
      </c>
      <c r="C34" s="18" t="n">
        <f aca="false">$B$8*B34</f>
        <v>34.8576</v>
      </c>
      <c r="D34" s="16" t="n">
        <f aca="false">C34*365</f>
        <v>12723.024</v>
      </c>
      <c r="E34" s="19" t="n">
        <f aca="false">$B$14*$B$15</f>
        <v>1150</v>
      </c>
      <c r="F34" s="16" t="n">
        <f aca="false">-$B$9*$B$7</f>
        <v>-1740</v>
      </c>
      <c r="G34" s="1" t="n">
        <v>0</v>
      </c>
      <c r="H34" s="16" t="n">
        <f aca="false">D34+F34+G34</f>
        <v>10983.024</v>
      </c>
      <c r="I34" s="20" t="n">
        <f aca="false">1/(1+$B$10)^A34</f>
        <v>0.412470622102027</v>
      </c>
      <c r="J34" s="16" t="n">
        <f aca="false">H34*I34</f>
        <v>4530.17474184149</v>
      </c>
      <c r="K34" s="16" t="n">
        <f aca="false">K33+J34</f>
        <v>-43424.6715496142</v>
      </c>
    </row>
    <row r="35" customFormat="false" ht="15" hidden="false" customHeight="true" outlineLevel="0" collapsed="false">
      <c r="A35" s="1" t="n">
        <v>15</v>
      </c>
      <c r="B35" s="17" t="n">
        <f aca="false">IF(A35&lt;=$B$12, MAX(0.7, 1-$B$11*A35), MAX(0.7, 1-$B$11*(A35-$B$12)))</f>
        <v>0.94</v>
      </c>
      <c r="C35" s="18" t="n">
        <f aca="false">$B$8*B35</f>
        <v>34.1314</v>
      </c>
      <c r="D35" s="16" t="n">
        <f aca="false">C35*365</f>
        <v>12457.961</v>
      </c>
      <c r="E35" s="19" t="n">
        <f aca="false">$B$14*$B$15</f>
        <v>1150</v>
      </c>
      <c r="F35" s="16" t="n">
        <f aca="false">-$B$9*$B$7</f>
        <v>-1740</v>
      </c>
      <c r="G35" s="1" t="n">
        <v>0</v>
      </c>
      <c r="H35" s="16" t="n">
        <f aca="false">D35+F35+G35</f>
        <v>10717.961</v>
      </c>
      <c r="I35" s="20" t="n">
        <f aca="false">1/(1+$B$10)^A35</f>
        <v>0.387187291938446</v>
      </c>
      <c r="J35" s="16" t="n">
        <f aca="false">H35*I35</f>
        <v>4149.85829469188</v>
      </c>
      <c r="K35" s="16" t="n">
        <f aca="false">K34+J35</f>
        <v>-39274.8132549223</v>
      </c>
    </row>
    <row r="36" customFormat="false" ht="15" hidden="false" customHeight="true" outlineLevel="0" collapsed="false">
      <c r="A36" s="1" t="n">
        <v>16</v>
      </c>
      <c r="B36" s="17" t="n">
        <f aca="false">IF(A36&lt;=$B$12, MAX(0.7, 1-$B$11*A36), MAX(0.7, 1-$B$11*(A36-$B$12)))</f>
        <v>0.92</v>
      </c>
      <c r="C36" s="18" t="n">
        <f aca="false">$B$8*B36</f>
        <v>33.4052</v>
      </c>
      <c r="D36" s="16" t="n">
        <f aca="false">C36*365</f>
        <v>12192.898</v>
      </c>
      <c r="E36" s="19" t="n">
        <f aca="false">$B$14*$B$15</f>
        <v>1150</v>
      </c>
      <c r="F36" s="16" t="n">
        <f aca="false">-$B$9*$B$7</f>
        <v>-1740</v>
      </c>
      <c r="G36" s="1" t="n">
        <v>0</v>
      </c>
      <c r="H36" s="16" t="n">
        <f aca="false">D36+F36+G36</f>
        <v>10452.898</v>
      </c>
      <c r="I36" s="20" t="n">
        <f aca="false">1/(1+$B$10)^A36</f>
        <v>0.36345376132399</v>
      </c>
      <c r="J36" s="16" t="n">
        <f aca="false">H36*I36</f>
        <v>3799.14509483601</v>
      </c>
      <c r="K36" s="16" t="n">
        <f aca="false">K35+J36</f>
        <v>-35475.6681600863</v>
      </c>
    </row>
    <row r="37" customFormat="false" ht="15" hidden="false" customHeight="true" outlineLevel="0" collapsed="false">
      <c r="A37" s="1" t="n">
        <v>17</v>
      </c>
      <c r="B37" s="17" t="n">
        <f aca="false">IF(A37&lt;=$B$12, MAX(0.7, 1-$B$11*A37), MAX(0.7, 1-$B$11*(A37-$B$12)))</f>
        <v>0.9</v>
      </c>
      <c r="C37" s="18" t="n">
        <f aca="false">$B$8*B37</f>
        <v>32.679</v>
      </c>
      <c r="D37" s="16" t="n">
        <f aca="false">C37*365</f>
        <v>11927.835</v>
      </c>
      <c r="E37" s="19" t="n">
        <f aca="false">$B$14*$B$15</f>
        <v>1150</v>
      </c>
      <c r="F37" s="16" t="n">
        <f aca="false">-$B$9*$B$7</f>
        <v>-1740</v>
      </c>
      <c r="G37" s="1" t="n">
        <v>0</v>
      </c>
      <c r="H37" s="16" t="n">
        <f aca="false">D37+F37+G37</f>
        <v>10187.835</v>
      </c>
      <c r="I37" s="20" t="n">
        <f aca="false">1/(1+$B$10)^A37</f>
        <v>0.341175031750671</v>
      </c>
      <c r="J37" s="16" t="n">
        <f aca="false">H37*I37</f>
        <v>3475.8349295956</v>
      </c>
      <c r="K37" s="16" t="n">
        <f aca="false">K36+J37</f>
        <v>-31999.8332304907</v>
      </c>
    </row>
    <row r="38" customFormat="false" ht="15" hidden="false" customHeight="true" outlineLevel="0" collapsed="false">
      <c r="A38" s="1" t="n">
        <v>18</v>
      </c>
      <c r="B38" s="17" t="n">
        <f aca="false">IF(A38&lt;=$B$12, MAX(0.7, 1-$B$11*A38), MAX(0.7, 1-$B$11*(A38-$B$12)))</f>
        <v>0.88</v>
      </c>
      <c r="C38" s="18" t="n">
        <f aca="false">$B$8*B38</f>
        <v>31.9528</v>
      </c>
      <c r="D38" s="16" t="n">
        <f aca="false">C38*365</f>
        <v>11662.772</v>
      </c>
      <c r="E38" s="19" t="n">
        <f aca="false">$B$14*$B$15</f>
        <v>1150</v>
      </c>
      <c r="F38" s="16" t="n">
        <f aca="false">-$B$9*$B$7</f>
        <v>-1740</v>
      </c>
      <c r="G38" s="1" t="n">
        <v>0</v>
      </c>
      <c r="H38" s="16" t="n">
        <f aca="false">D38+F38+G38</f>
        <v>9922.772</v>
      </c>
      <c r="I38" s="20" t="n">
        <f aca="false">1/(1+$B$10)^A38</f>
        <v>0.320261927861326</v>
      </c>
      <c r="J38" s="16" t="n">
        <f aca="false">H38*I38</f>
        <v>3177.88609044839</v>
      </c>
      <c r="K38" s="16" t="n">
        <f aca="false">K37+J38</f>
        <v>-28821.9471400423</v>
      </c>
    </row>
    <row r="39" customFormat="false" ht="15" hidden="false" customHeight="true" outlineLevel="0" collapsed="false">
      <c r="A39" s="1" t="n">
        <v>19</v>
      </c>
      <c r="B39" s="17" t="n">
        <f aca="false">IF(A39&lt;=$B$12, MAX(0.7, 1-$B$11*A39), MAX(0.7, 1-$B$11*(A39-$B$12)))</f>
        <v>0.86</v>
      </c>
      <c r="C39" s="18" t="n">
        <f aca="false">$B$8*B39</f>
        <v>31.2266</v>
      </c>
      <c r="D39" s="16" t="n">
        <f aca="false">C39*365</f>
        <v>11397.709</v>
      </c>
      <c r="E39" s="19" t="n">
        <f aca="false">$B$14*$B$15</f>
        <v>1150</v>
      </c>
      <c r="F39" s="16" t="n">
        <f aca="false">-$B$9*$B$7</f>
        <v>-1740</v>
      </c>
      <c r="G39" s="1" t="n">
        <v>0</v>
      </c>
      <c r="H39" s="16" t="n">
        <f aca="false">D39+F39+G39</f>
        <v>9657.709</v>
      </c>
      <c r="I39" s="20" t="n">
        <f aca="false">1/(1+$B$10)^A39</f>
        <v>0.300630740506267</v>
      </c>
      <c r="J39" s="16" t="n">
        <f aca="false">H39*I39</f>
        <v>2903.40420826404</v>
      </c>
      <c r="K39" s="16" t="n">
        <f aca="false">K38+J39</f>
        <v>-25918.5429317783</v>
      </c>
    </row>
    <row r="40" customFormat="false" ht="15" hidden="false" customHeight="true" outlineLevel="0" collapsed="false">
      <c r="A40" s="1" t="n">
        <v>20</v>
      </c>
      <c r="B40" s="17" t="n">
        <f aca="false">IF(A40&lt;=$B$12, MAX(0.7, 1-$B$11*A40), MAX(0.7, 1-$B$11*(A40-$B$12)))</f>
        <v>0.84</v>
      </c>
      <c r="C40" s="18" t="n">
        <f aca="false">$B$8*B40</f>
        <v>30.5004</v>
      </c>
      <c r="D40" s="16" t="n">
        <f aca="false">C40*365</f>
        <v>11132.646</v>
      </c>
      <c r="E40" s="19" t="n">
        <f aca="false">$B$14*$B$15</f>
        <v>1150</v>
      </c>
      <c r="F40" s="16" t="n">
        <f aca="false">-$B$9*$B$7</f>
        <v>-1740</v>
      </c>
      <c r="G40" s="1" t="n">
        <v>0</v>
      </c>
      <c r="H40" s="16" t="n">
        <f aca="false">D40+F40+G40</f>
        <v>9392.646</v>
      </c>
      <c r="I40" s="20" t="n">
        <f aca="false">1/(1+$B$10)^A40</f>
        <v>0.28220289167959</v>
      </c>
      <c r="J40" s="16" t="n">
        <f aca="false">H40*I40</f>
        <v>2650.63186172273</v>
      </c>
      <c r="K40" s="16" t="n">
        <f aca="false">K39+J40</f>
        <v>-23267.9110700555</v>
      </c>
    </row>
    <row r="42" customFormat="false" ht="15" hidden="false" customHeight="true" outlineLevel="0" collapsed="false">
      <c r="A42" s="4" t="s">
        <v>145</v>
      </c>
      <c r="B42" s="5"/>
      <c r="C42" s="5"/>
      <c r="D42" s="5"/>
    </row>
    <row r="43" customFormat="false" ht="15" hidden="false" customHeight="true" outlineLevel="0" collapsed="false">
      <c r="A43" s="1" t="s">
        <v>116</v>
      </c>
      <c r="B43" s="16" t="n">
        <f aca="false">B7</f>
        <v>116000</v>
      </c>
    </row>
    <row r="44" customFormat="false" ht="15" hidden="false" customHeight="true" outlineLevel="0" collapsed="false">
      <c r="A44" s="1" t="s">
        <v>146</v>
      </c>
      <c r="B44" s="21" t="n">
        <f aca="false">K40</f>
        <v>-23267.9110700555</v>
      </c>
    </row>
    <row r="45" customFormat="false" ht="15" hidden="false" customHeight="true" outlineLevel="0" collapsed="false">
      <c r="A45" s="1" t="s">
        <v>147</v>
      </c>
      <c r="B45" s="21" t="n">
        <f aca="false">K40+B16</f>
        <v>-2173.15852016927</v>
      </c>
    </row>
    <row r="46" customFormat="false" ht="15" hidden="false" customHeight="true" outlineLevel="0" collapsed="false">
      <c r="A46" s="22" t="s">
        <v>148</v>
      </c>
      <c r="B46" s="23" t="n">
        <f aca="false">B7/(D21)</f>
        <v>8.93126139361401</v>
      </c>
    </row>
    <row r="47" customFormat="false" ht="15" hidden="false" customHeight="true" outlineLevel="0" collapsed="false">
      <c r="A47" s="22" t="s">
        <v>149</v>
      </c>
      <c r="B47" s="16" t="n">
        <f aca="false">D21</f>
        <v>12988.087</v>
      </c>
    </row>
    <row r="48" customFormat="false" ht="15" hidden="false" customHeight="true" outlineLevel="0" collapsed="false">
      <c r="A48" s="22" t="s">
        <v>150</v>
      </c>
      <c r="B48" s="16" t="n">
        <f aca="false">H21</f>
        <v>11248.087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2" min="2" style="1" width="14"/>
  </cols>
  <sheetData>
    <row r="1" customFormat="false" ht="17.25" hidden="false" customHeight="true" outlineLevel="0" collapsed="false">
      <c r="A1" s="2" t="s">
        <v>151</v>
      </c>
    </row>
    <row r="2" customFormat="false" ht="15" hidden="false" customHeight="true" outlineLevel="0" collapsed="false">
      <c r="A2" s="1" t="s">
        <v>112</v>
      </c>
    </row>
    <row r="4" customFormat="false" ht="15" hidden="false" customHeight="true" outlineLevel="0" collapsed="false">
      <c r="A4" s="3"/>
      <c r="B4" s="3" t="s">
        <v>3</v>
      </c>
      <c r="C4" s="3" t="s">
        <v>4</v>
      </c>
      <c r="D4" s="3" t="s">
        <v>5</v>
      </c>
    </row>
    <row r="5" customFormat="false" ht="15" hidden="false" customHeight="true" outlineLevel="0" collapsed="false">
      <c r="A5" s="1" t="s">
        <v>113</v>
      </c>
      <c r="B5" s="6" t="n">
        <v>400</v>
      </c>
      <c r="C5" s="1" t="s">
        <v>13</v>
      </c>
      <c r="D5" s="7"/>
    </row>
    <row r="6" customFormat="false" ht="15" hidden="false" customHeight="true" outlineLevel="0" collapsed="false">
      <c r="A6" s="1" t="s">
        <v>114</v>
      </c>
      <c r="B6" s="6" t="n">
        <v>406</v>
      </c>
      <c r="C6" s="1" t="s">
        <v>18</v>
      </c>
      <c r="D6" s="7" t="s">
        <v>152</v>
      </c>
    </row>
    <row r="7" customFormat="false" ht="15" hidden="false" customHeight="true" outlineLevel="0" collapsed="false">
      <c r="A7" s="1" t="s">
        <v>116</v>
      </c>
      <c r="B7" s="13" t="n">
        <f aca="false">B5*B6</f>
        <v>162400</v>
      </c>
      <c r="C7" s="1" t="s">
        <v>64</v>
      </c>
      <c r="D7" s="7"/>
    </row>
    <row r="8" customFormat="false" ht="15" hidden="false" customHeight="true" outlineLevel="0" collapsed="false">
      <c r="A8" s="1" t="s">
        <v>117</v>
      </c>
      <c r="B8" s="6" t="n">
        <v>48.51</v>
      </c>
      <c r="C8" s="1" t="s">
        <v>41</v>
      </c>
      <c r="D8" s="7" t="s">
        <v>153</v>
      </c>
    </row>
    <row r="9" customFormat="false" ht="15" hidden="false" customHeight="true" outlineLevel="0" collapsed="false">
      <c r="A9" s="1" t="s">
        <v>119</v>
      </c>
      <c r="B9" s="6" t="n">
        <v>0.015</v>
      </c>
      <c r="C9" s="1" t="s">
        <v>120</v>
      </c>
      <c r="D9" s="7" t="s">
        <v>121</v>
      </c>
    </row>
    <row r="10" customFormat="false" ht="15" hidden="false" customHeight="true" outlineLevel="0" collapsed="false">
      <c r="A10" s="1" t="s">
        <v>122</v>
      </c>
      <c r="B10" s="6" t="n">
        <v>0.0653</v>
      </c>
      <c r="D10" s="7" t="s">
        <v>123</v>
      </c>
    </row>
    <row r="11" customFormat="false" ht="15" hidden="false" customHeight="true" outlineLevel="0" collapsed="false">
      <c r="A11" s="1" t="s">
        <v>124</v>
      </c>
      <c r="B11" s="6" t="n">
        <v>0.02</v>
      </c>
      <c r="C11" s="1" t="s">
        <v>125</v>
      </c>
      <c r="D11" s="7" t="s">
        <v>126</v>
      </c>
    </row>
    <row r="12" customFormat="false" ht="15" hidden="false" customHeight="true" outlineLevel="0" collapsed="false">
      <c r="A12" s="1" t="s">
        <v>127</v>
      </c>
      <c r="B12" s="6" t="n">
        <v>12</v>
      </c>
      <c r="D12" s="7"/>
    </row>
    <row r="13" customFormat="false" ht="15" hidden="false" customHeight="true" outlineLevel="0" collapsed="false">
      <c r="A13" s="1" t="s">
        <v>128</v>
      </c>
      <c r="B13" s="6" t="n">
        <v>168</v>
      </c>
      <c r="C13" s="1" t="s">
        <v>18</v>
      </c>
      <c r="D13" s="7" t="s">
        <v>154</v>
      </c>
    </row>
    <row r="14" customFormat="false" ht="15" hidden="false" customHeight="true" outlineLevel="0" collapsed="false">
      <c r="A14" s="1" t="s">
        <v>130</v>
      </c>
      <c r="B14" s="6" t="n">
        <v>50</v>
      </c>
      <c r="C14" s="1" t="s">
        <v>8</v>
      </c>
      <c r="D14" s="7" t="s">
        <v>131</v>
      </c>
    </row>
    <row r="15" customFormat="false" ht="15" hidden="false" customHeight="true" outlineLevel="0" collapsed="false">
      <c r="A15" s="1" t="s">
        <v>132</v>
      </c>
      <c r="B15" s="6" t="n">
        <v>23</v>
      </c>
      <c r="C15" s="1" t="s">
        <v>60</v>
      </c>
      <c r="D15" s="7" t="s">
        <v>61</v>
      </c>
    </row>
    <row r="16" customFormat="false" ht="15" hidden="false" customHeight="true" outlineLevel="0" collapsed="false">
      <c r="A16" s="1" t="s">
        <v>77</v>
      </c>
      <c r="B16" s="13" t="n">
        <f aca="false">45000*(1-1/(1+B10)^10)</f>
        <v>21094.7525498863</v>
      </c>
      <c r="C16" s="1" t="s">
        <v>64</v>
      </c>
      <c r="D16" s="7"/>
    </row>
    <row r="18" customFormat="false" ht="15" hidden="false" customHeight="true" outlineLevel="0" collapsed="false">
      <c r="A18" s="4" t="s">
        <v>133</v>
      </c>
      <c r="B18" s="5"/>
      <c r="C18" s="5"/>
      <c r="D18" s="5"/>
    </row>
    <row r="19" customFormat="false" ht="27.75" hidden="false" customHeight="true" outlineLevel="0" collapsed="false">
      <c r="A19" s="14" t="s">
        <v>134</v>
      </c>
      <c r="B19" s="14" t="s">
        <v>135</v>
      </c>
      <c r="C19" s="14" t="s">
        <v>136</v>
      </c>
      <c r="D19" s="14" t="s">
        <v>137</v>
      </c>
      <c r="E19" s="15" t="s">
        <v>138</v>
      </c>
      <c r="F19" s="14" t="s">
        <v>139</v>
      </c>
      <c r="G19" s="14" t="s">
        <v>140</v>
      </c>
      <c r="H19" s="14" t="s">
        <v>141</v>
      </c>
      <c r="I19" s="14" t="s">
        <v>142</v>
      </c>
      <c r="J19" s="14" t="s">
        <v>143</v>
      </c>
      <c r="K19" s="14" t="s">
        <v>144</v>
      </c>
    </row>
    <row r="20" customFormat="false" ht="15" hidden="false" customHeight="true" outlineLevel="0" collapsed="false">
      <c r="A20" s="1" t="n">
        <v>0</v>
      </c>
      <c r="G20" s="16" t="n">
        <f aca="false">-B7</f>
        <v>-162400</v>
      </c>
      <c r="H20" s="16" t="n">
        <f aca="false">G20</f>
        <v>-162400</v>
      </c>
      <c r="I20" s="1" t="n">
        <v>1</v>
      </c>
      <c r="J20" s="16" t="n">
        <f aca="false">H20*I20</f>
        <v>-162400</v>
      </c>
      <c r="K20" s="16" t="n">
        <f aca="false">J20</f>
        <v>-162400</v>
      </c>
    </row>
    <row r="21" customFormat="false" ht="15" hidden="false" customHeight="true" outlineLevel="0" collapsed="false">
      <c r="A21" s="1" t="n">
        <v>1</v>
      </c>
      <c r="B21" s="17" t="n">
        <f aca="false">IF(A21&lt;=$B$12, MAX(0.7, 1-$B$11*A21), MAX(0.7, 1-$B$11*(A21-$B$12)))</f>
        <v>0.98</v>
      </c>
      <c r="C21" s="18" t="n">
        <f aca="false">$B$8*B21</f>
        <v>47.5398</v>
      </c>
      <c r="D21" s="16" t="n">
        <f aca="false">C21*365</f>
        <v>17352.027</v>
      </c>
      <c r="E21" s="19" t="n">
        <f aca="false">$B$14*$B$15</f>
        <v>1150</v>
      </c>
      <c r="F21" s="16" t="n">
        <f aca="false">-$B$9*$B$7</f>
        <v>-2436</v>
      </c>
      <c r="G21" s="1" t="n">
        <v>0</v>
      </c>
      <c r="H21" s="16" t="n">
        <f aca="false">D21+F21+G21</f>
        <v>14916.027</v>
      </c>
      <c r="I21" s="20" t="n">
        <f aca="false">1/(1+$B$10)^A21</f>
        <v>0.93870271285084</v>
      </c>
      <c r="J21" s="16" t="n">
        <f aca="false">H21*I21</f>
        <v>14001.7150098564</v>
      </c>
      <c r="K21" s="16" t="n">
        <f aca="false">K20+J21</f>
        <v>-148398.284990144</v>
      </c>
    </row>
    <row r="22" customFormat="false" ht="15" hidden="false" customHeight="true" outlineLevel="0" collapsed="false">
      <c r="A22" s="1" t="n">
        <v>2</v>
      </c>
      <c r="B22" s="17" t="n">
        <f aca="false">IF(A22&lt;=$B$12, MAX(0.7, 1-$B$11*A22), MAX(0.7, 1-$B$11*(A22-$B$12)))</f>
        <v>0.96</v>
      </c>
      <c r="C22" s="18" t="n">
        <f aca="false">$B$8*B22</f>
        <v>46.5696</v>
      </c>
      <c r="D22" s="16" t="n">
        <f aca="false">C22*365</f>
        <v>16997.904</v>
      </c>
      <c r="E22" s="19" t="n">
        <f aca="false">$B$14*$B$15</f>
        <v>1150</v>
      </c>
      <c r="F22" s="16" t="n">
        <f aca="false">-$B$9*$B$7</f>
        <v>-2436</v>
      </c>
      <c r="G22" s="1" t="n">
        <v>0</v>
      </c>
      <c r="H22" s="16" t="n">
        <f aca="false">D22+F22+G22</f>
        <v>14561.904</v>
      </c>
      <c r="I22" s="20" t="n">
        <f aca="false">1/(1+$B$10)^A22</f>
        <v>0.881162783113527</v>
      </c>
      <c r="J22" s="16" t="n">
        <f aca="false">H22*I22</f>
        <v>12831.407856072</v>
      </c>
      <c r="K22" s="16" t="n">
        <f aca="false">K21+J22</f>
        <v>-135566.877134072</v>
      </c>
    </row>
    <row r="23" customFormat="false" ht="15" hidden="false" customHeight="true" outlineLevel="0" collapsed="false">
      <c r="A23" s="1" t="n">
        <v>3</v>
      </c>
      <c r="B23" s="17" t="n">
        <f aca="false">IF(A23&lt;=$B$12, MAX(0.7, 1-$B$11*A23), MAX(0.7, 1-$B$11*(A23-$B$12)))</f>
        <v>0.94</v>
      </c>
      <c r="C23" s="18" t="n">
        <f aca="false">$B$8*B23</f>
        <v>45.5994</v>
      </c>
      <c r="D23" s="16" t="n">
        <f aca="false">C23*365</f>
        <v>16643.781</v>
      </c>
      <c r="E23" s="19" t="n">
        <f aca="false">$B$14*$B$15</f>
        <v>1150</v>
      </c>
      <c r="F23" s="16" t="n">
        <f aca="false">-$B$9*$B$7</f>
        <v>-2436</v>
      </c>
      <c r="G23" s="1" t="n">
        <v>0</v>
      </c>
      <c r="H23" s="16" t="n">
        <f aca="false">D23+F23+G23</f>
        <v>14207.781</v>
      </c>
      <c r="I23" s="20" t="n">
        <f aca="false">1/(1+$B$10)^A23</f>
        <v>0.827149894971864</v>
      </c>
      <c r="J23" s="16" t="n">
        <f aca="false">H23*I23</f>
        <v>11751.9645619332</v>
      </c>
      <c r="K23" s="16" t="n">
        <f aca="false">K22+J23</f>
        <v>-123814.912572138</v>
      </c>
    </row>
    <row r="24" customFormat="false" ht="15" hidden="false" customHeight="true" outlineLevel="0" collapsed="false">
      <c r="A24" s="1" t="n">
        <v>4</v>
      </c>
      <c r="B24" s="17" t="n">
        <f aca="false">IF(A24&lt;=$B$12, MAX(0.7, 1-$B$11*A24), MAX(0.7, 1-$B$11*(A24-$B$12)))</f>
        <v>0.92</v>
      </c>
      <c r="C24" s="18" t="n">
        <f aca="false">$B$8*B24</f>
        <v>44.6292</v>
      </c>
      <c r="D24" s="16" t="n">
        <f aca="false">C24*365</f>
        <v>16289.658</v>
      </c>
      <c r="E24" s="19" t="n">
        <f aca="false">$B$14*$B$15</f>
        <v>1150</v>
      </c>
      <c r="F24" s="16" t="n">
        <f aca="false">-$B$9*$B$7</f>
        <v>-2436</v>
      </c>
      <c r="G24" s="1" t="n">
        <v>0</v>
      </c>
      <c r="H24" s="16" t="n">
        <f aca="false">D24+F24+G24</f>
        <v>13853.658</v>
      </c>
      <c r="I24" s="20" t="n">
        <f aca="false">1/(1+$B$10)^A24</f>
        <v>0.776447850344377</v>
      </c>
      <c r="J24" s="16" t="n">
        <f aca="false">H24*I24</f>
        <v>10756.6429735062</v>
      </c>
      <c r="K24" s="16" t="n">
        <f aca="false">K23+J24</f>
        <v>-113058.269598632</v>
      </c>
    </row>
    <row r="25" customFormat="false" ht="15" hidden="false" customHeight="true" outlineLevel="0" collapsed="false">
      <c r="A25" s="1" t="n">
        <v>5</v>
      </c>
      <c r="B25" s="17" t="n">
        <f aca="false">IF(A25&lt;=$B$12, MAX(0.7, 1-$B$11*A25), MAX(0.7, 1-$B$11*(A25-$B$12)))</f>
        <v>0.9</v>
      </c>
      <c r="C25" s="18" t="n">
        <f aca="false">$B$8*B25</f>
        <v>43.659</v>
      </c>
      <c r="D25" s="16" t="n">
        <f aca="false">C25*365</f>
        <v>15935.535</v>
      </c>
      <c r="E25" s="19" t="n">
        <f aca="false">$B$14*$B$15</f>
        <v>1150</v>
      </c>
      <c r="F25" s="16" t="n">
        <f aca="false">-$B$9*$B$7</f>
        <v>-2436</v>
      </c>
      <c r="G25" s="1" t="n">
        <v>0</v>
      </c>
      <c r="H25" s="16" t="n">
        <f aca="false">D25+F25+G25</f>
        <v>13499.535</v>
      </c>
      <c r="I25" s="20" t="n">
        <f aca="false">1/(1+$B$10)^A25</f>
        <v>0.72885370350547</v>
      </c>
      <c r="J25" s="16" t="n">
        <f aca="false">H25*I25</f>
        <v>9839.18608035171</v>
      </c>
      <c r="K25" s="16" t="n">
        <f aca="false">K24+J25</f>
        <v>-103219.08351828</v>
      </c>
    </row>
    <row r="26" customFormat="false" ht="15" hidden="false" customHeight="true" outlineLevel="0" collapsed="false">
      <c r="A26" s="1" t="n">
        <v>6</v>
      </c>
      <c r="B26" s="17" t="n">
        <f aca="false">IF(A26&lt;=$B$12, MAX(0.7, 1-$B$11*A26), MAX(0.7, 1-$B$11*(A26-$B$12)))</f>
        <v>0.88</v>
      </c>
      <c r="C26" s="18" t="n">
        <f aca="false">$B$8*B26</f>
        <v>42.6888</v>
      </c>
      <c r="D26" s="16" t="n">
        <f aca="false">C26*365</f>
        <v>15581.412</v>
      </c>
      <c r="E26" s="19" t="n">
        <f aca="false">$B$14*$B$15</f>
        <v>1150</v>
      </c>
      <c r="F26" s="16" t="n">
        <f aca="false">-$B$9*$B$7</f>
        <v>-2436</v>
      </c>
      <c r="G26" s="1" t="n">
        <v>0</v>
      </c>
      <c r="H26" s="16" t="n">
        <f aca="false">D26+F26+G26</f>
        <v>13145.412</v>
      </c>
      <c r="I26" s="20" t="n">
        <f aca="false">1/(1+$B$10)^A26</f>
        <v>0.684176948751966</v>
      </c>
      <c r="J26" s="16" t="n">
        <f aca="false">H26*I26</f>
        <v>8993.78787224748</v>
      </c>
      <c r="K26" s="16" t="n">
        <f aca="false">K25+J26</f>
        <v>-94225.295646033</v>
      </c>
    </row>
    <row r="27" customFormat="false" ht="15" hidden="false" customHeight="true" outlineLevel="0" collapsed="false">
      <c r="A27" s="1" t="n">
        <v>7</v>
      </c>
      <c r="B27" s="17" t="n">
        <f aca="false">IF(A27&lt;=$B$12, MAX(0.7, 1-$B$11*A27), MAX(0.7, 1-$B$11*(A27-$B$12)))</f>
        <v>0.86</v>
      </c>
      <c r="C27" s="18" t="n">
        <f aca="false">$B$8*B27</f>
        <v>41.7186</v>
      </c>
      <c r="D27" s="16" t="n">
        <f aca="false">C27*365</f>
        <v>15227.289</v>
      </c>
      <c r="E27" s="19" t="n">
        <f aca="false">$B$14*$B$15</f>
        <v>1150</v>
      </c>
      <c r="F27" s="16" t="n">
        <f aca="false">-$B$9*$B$7</f>
        <v>-2436</v>
      </c>
      <c r="G27" s="1" t="n">
        <v>0</v>
      </c>
      <c r="H27" s="16" t="n">
        <f aca="false">D27+F27+G27</f>
        <v>12791.289</v>
      </c>
      <c r="I27" s="20" t="n">
        <f aca="false">1/(1+$B$10)^A27</f>
        <v>0.642238757863481</v>
      </c>
      <c r="J27" s="16" t="n">
        <f aca="false">H27*I27</f>
        <v>8215.06155883281</v>
      </c>
      <c r="K27" s="16" t="n">
        <f aca="false">K26+J27</f>
        <v>-86010.2340872002</v>
      </c>
    </row>
    <row r="28" customFormat="false" ht="15" hidden="false" customHeight="true" outlineLevel="0" collapsed="false">
      <c r="A28" s="1" t="n">
        <v>8</v>
      </c>
      <c r="B28" s="17" t="n">
        <f aca="false">IF(A28&lt;=$B$12, MAX(0.7, 1-$B$11*A28), MAX(0.7, 1-$B$11*(A28-$B$12)))</f>
        <v>0.84</v>
      </c>
      <c r="C28" s="18" t="n">
        <f aca="false">$B$8*B28</f>
        <v>40.7484</v>
      </c>
      <c r="D28" s="16" t="n">
        <f aca="false">C28*365</f>
        <v>14873.166</v>
      </c>
      <c r="E28" s="19" t="n">
        <f aca="false">$B$14*$B$15</f>
        <v>1150</v>
      </c>
      <c r="F28" s="16" t="n">
        <f aca="false">-$B$9*$B$7</f>
        <v>-2436</v>
      </c>
      <c r="G28" s="1" t="n">
        <v>0</v>
      </c>
      <c r="H28" s="16" t="n">
        <f aca="false">D28+F28+G28</f>
        <v>12437.166</v>
      </c>
      <c r="I28" s="20" t="n">
        <f aca="false">1/(1+$B$10)^A28</f>
        <v>0.602871264304403</v>
      </c>
      <c r="J28" s="16" t="n">
        <f aca="false">H28*I28</f>
        <v>7498.00999078374</v>
      </c>
      <c r="K28" s="16" t="n">
        <f aca="false">K27+J28</f>
        <v>-78512.2240964164</v>
      </c>
    </row>
    <row r="29" customFormat="false" ht="15" hidden="false" customHeight="true" outlineLevel="0" collapsed="false">
      <c r="A29" s="1" t="n">
        <v>9</v>
      </c>
      <c r="B29" s="17" t="n">
        <f aca="false">IF(A29&lt;=$B$12, MAX(0.7, 1-$B$11*A29), MAX(0.7, 1-$B$11*(A29-$B$12)))</f>
        <v>0.82</v>
      </c>
      <c r="C29" s="18" t="n">
        <f aca="false">$B$8*B29</f>
        <v>39.7782</v>
      </c>
      <c r="D29" s="16" t="n">
        <f aca="false">C29*365</f>
        <v>14519.043</v>
      </c>
      <c r="E29" s="19" t="n">
        <f aca="false">$B$14*$B$15</f>
        <v>1150</v>
      </c>
      <c r="F29" s="16" t="n">
        <f aca="false">-$B$9*$B$7</f>
        <v>-2436</v>
      </c>
      <c r="G29" s="1" t="n">
        <v>0</v>
      </c>
      <c r="H29" s="16" t="n">
        <f aca="false">D29+F29+G29</f>
        <v>12083.043</v>
      </c>
      <c r="I29" s="20" t="n">
        <f aca="false">1/(1+$B$10)^A29</f>
        <v>0.565916891302359</v>
      </c>
      <c r="J29" s="16" t="n">
        <f aca="false">H29*I29</f>
        <v>6837.99813203274</v>
      </c>
      <c r="K29" s="16" t="n">
        <f aca="false">K28+J29</f>
        <v>-71674.2259643837</v>
      </c>
    </row>
    <row r="30" customFormat="false" ht="15" hidden="false" customHeight="true" outlineLevel="0" collapsed="false">
      <c r="A30" s="1" t="n">
        <v>10</v>
      </c>
      <c r="B30" s="17" t="n">
        <f aca="false">IF(A30&lt;=$B$12, MAX(0.7, 1-$B$11*A30), MAX(0.7, 1-$B$11*(A30-$B$12)))</f>
        <v>0.8</v>
      </c>
      <c r="C30" s="18" t="n">
        <f aca="false">$B$8*B30</f>
        <v>38.808</v>
      </c>
      <c r="D30" s="16" t="n">
        <f aca="false">C30*365</f>
        <v>14164.92</v>
      </c>
      <c r="E30" s="19" t="n">
        <f aca="false">$B$14*$B$15</f>
        <v>1150</v>
      </c>
      <c r="F30" s="16" t="n">
        <f aca="false">-$B$9*$B$7</f>
        <v>-2436</v>
      </c>
      <c r="G30" s="1" t="n">
        <v>0</v>
      </c>
      <c r="H30" s="16" t="n">
        <f aca="false">D30+F30+G30</f>
        <v>11728.92</v>
      </c>
      <c r="I30" s="20" t="n">
        <f aca="false">1/(1+$B$10)^A30</f>
        <v>0.531227721113639</v>
      </c>
      <c r="J30" s="16" t="n">
        <f aca="false">H30*I30</f>
        <v>6230.72744272418</v>
      </c>
      <c r="K30" s="16" t="n">
        <f aca="false">K29+J30</f>
        <v>-65443.4985216595</v>
      </c>
    </row>
    <row r="31" customFormat="false" ht="15" hidden="false" customHeight="true" outlineLevel="0" collapsed="false">
      <c r="A31" s="1" t="n">
        <v>11</v>
      </c>
      <c r="B31" s="17" t="n">
        <f aca="false">IF(A31&lt;=$B$12, MAX(0.7, 1-$B$11*A31), MAX(0.7, 1-$B$11*(A31-$B$12)))</f>
        <v>0.78</v>
      </c>
      <c r="C31" s="18" t="n">
        <f aca="false">$B$8*B31</f>
        <v>37.8378</v>
      </c>
      <c r="D31" s="16" t="n">
        <f aca="false">C31*365</f>
        <v>13810.797</v>
      </c>
      <c r="E31" s="19" t="n">
        <f aca="false">$B$14*$B$15</f>
        <v>1150</v>
      </c>
      <c r="F31" s="16" t="n">
        <f aca="false">-$B$9*$B$7</f>
        <v>-2436</v>
      </c>
      <c r="G31" s="1" t="n">
        <v>0</v>
      </c>
      <c r="H31" s="16" t="n">
        <f aca="false">D31+F31+G31</f>
        <v>11374.797</v>
      </c>
      <c r="I31" s="20" t="n">
        <f aca="false">1/(1+$B$10)^A31</f>
        <v>0.498664902950942</v>
      </c>
      <c r="J31" s="16" t="n">
        <f aca="false">H31*I31</f>
        <v>5672.21204209167</v>
      </c>
      <c r="K31" s="16" t="n">
        <f aca="false">K30+J31</f>
        <v>-59771.2864795679</v>
      </c>
    </row>
    <row r="32" customFormat="false" ht="15" hidden="false" customHeight="true" outlineLevel="0" collapsed="false">
      <c r="A32" s="1" t="n">
        <v>12</v>
      </c>
      <c r="B32" s="17" t="n">
        <f aca="false">IF(A32&lt;=$B$12, MAX(0.7, 1-$B$11*A32), MAX(0.7, 1-$B$11*(A32-$B$12)))</f>
        <v>0.76</v>
      </c>
      <c r="C32" s="18" t="n">
        <f aca="false">$B$8*B32</f>
        <v>36.8676</v>
      </c>
      <c r="D32" s="16" t="n">
        <f aca="false">C32*365</f>
        <v>13456.674</v>
      </c>
      <c r="E32" s="19" t="n">
        <f aca="false">$B$14*$B$15</f>
        <v>1150</v>
      </c>
      <c r="F32" s="16" t="n">
        <f aca="false">-$B$9*$B$7</f>
        <v>-2436</v>
      </c>
      <c r="G32" s="16" t="n">
        <f aca="false">-$B$13*$B$5</f>
        <v>-67200</v>
      </c>
      <c r="H32" s="16" t="n">
        <f aca="false">D32+F32+G32</f>
        <v>-56179.326</v>
      </c>
      <c r="I32" s="20" t="n">
        <f aca="false">1/(1+$B$10)^A32</f>
        <v>0.468098097203551</v>
      </c>
      <c r="J32" s="16" t="n">
        <f aca="false">H32*I32</f>
        <v>-26297.435602778</v>
      </c>
      <c r="K32" s="16" t="n">
        <f aca="false">K31+J32</f>
        <v>-86068.7220823458</v>
      </c>
    </row>
    <row r="33" customFormat="false" ht="15" hidden="false" customHeight="true" outlineLevel="0" collapsed="false">
      <c r="A33" s="1" t="n">
        <v>13</v>
      </c>
      <c r="B33" s="17" t="n">
        <f aca="false">IF(A33&lt;=$B$12, MAX(0.7, 1-$B$11*A33), MAX(0.7, 1-$B$11*(A33-$B$12)))</f>
        <v>0.98</v>
      </c>
      <c r="C33" s="18" t="n">
        <f aca="false">$B$8*B33</f>
        <v>47.5398</v>
      </c>
      <c r="D33" s="16" t="n">
        <f aca="false">C33*365</f>
        <v>17352.027</v>
      </c>
      <c r="E33" s="19" t="n">
        <f aca="false">$B$14*$B$15</f>
        <v>1150</v>
      </c>
      <c r="F33" s="16" t="n">
        <f aca="false">-$B$9*$B$7</f>
        <v>-2436</v>
      </c>
      <c r="G33" s="1" t="n">
        <v>0</v>
      </c>
      <c r="H33" s="16" t="n">
        <f aca="false">D33+F33+G33</f>
        <v>14916.027</v>
      </c>
      <c r="I33" s="20" t="n">
        <f aca="false">1/(1+$B$10)^A33</f>
        <v>0.439404953725289</v>
      </c>
      <c r="J33" s="16" t="n">
        <f aca="false">H33*I33</f>
        <v>6554.17615370016</v>
      </c>
      <c r="K33" s="16" t="n">
        <f aca="false">K32+J33</f>
        <v>-79514.5459286457</v>
      </c>
    </row>
    <row r="34" customFormat="false" ht="15" hidden="false" customHeight="true" outlineLevel="0" collapsed="false">
      <c r="A34" s="1" t="n">
        <v>14</v>
      </c>
      <c r="B34" s="17" t="n">
        <f aca="false">IF(A34&lt;=$B$12, MAX(0.7, 1-$B$11*A34), MAX(0.7, 1-$B$11*(A34-$B$12)))</f>
        <v>0.96</v>
      </c>
      <c r="C34" s="18" t="n">
        <f aca="false">$B$8*B34</f>
        <v>46.5696</v>
      </c>
      <c r="D34" s="16" t="n">
        <f aca="false">C34*365</f>
        <v>16997.904</v>
      </c>
      <c r="E34" s="19" t="n">
        <f aca="false">$B$14*$B$15</f>
        <v>1150</v>
      </c>
      <c r="F34" s="16" t="n">
        <f aca="false">-$B$9*$B$7</f>
        <v>-2436</v>
      </c>
      <c r="G34" s="1" t="n">
        <v>0</v>
      </c>
      <c r="H34" s="16" t="n">
        <f aca="false">D34+F34+G34</f>
        <v>14561.904</v>
      </c>
      <c r="I34" s="20" t="n">
        <f aca="false">1/(1+$B$10)^A34</f>
        <v>0.412470622102027</v>
      </c>
      <c r="J34" s="16" t="n">
        <f aca="false">H34*I34</f>
        <v>6006.35760186999</v>
      </c>
      <c r="K34" s="16" t="n">
        <f aca="false">K33+J34</f>
        <v>-73508.1883267757</v>
      </c>
    </row>
    <row r="35" customFormat="false" ht="15" hidden="false" customHeight="true" outlineLevel="0" collapsed="false">
      <c r="A35" s="1" t="n">
        <v>15</v>
      </c>
      <c r="B35" s="17" t="n">
        <f aca="false">IF(A35&lt;=$B$12, MAX(0.7, 1-$B$11*A35), MAX(0.7, 1-$B$11*(A35-$B$12)))</f>
        <v>0.94</v>
      </c>
      <c r="C35" s="18" t="n">
        <f aca="false">$B$8*B35</f>
        <v>45.5994</v>
      </c>
      <c r="D35" s="16" t="n">
        <f aca="false">C35*365</f>
        <v>16643.781</v>
      </c>
      <c r="E35" s="19" t="n">
        <f aca="false">$B$14*$B$15</f>
        <v>1150</v>
      </c>
      <c r="F35" s="16" t="n">
        <f aca="false">-$B$9*$B$7</f>
        <v>-2436</v>
      </c>
      <c r="G35" s="1" t="n">
        <v>0</v>
      </c>
      <c r="H35" s="16" t="n">
        <f aca="false">D35+F35+G35</f>
        <v>14207.781</v>
      </c>
      <c r="I35" s="20" t="n">
        <f aca="false">1/(1+$B$10)^A35</f>
        <v>0.387187291938446</v>
      </c>
      <c r="J35" s="16" t="n">
        <f aca="false">H35*I35</f>
        <v>5501.07224984451</v>
      </c>
      <c r="K35" s="16" t="n">
        <f aca="false">K34+J35</f>
        <v>-68007.1160769311</v>
      </c>
    </row>
    <row r="36" customFormat="false" ht="15" hidden="false" customHeight="true" outlineLevel="0" collapsed="false">
      <c r="A36" s="1" t="n">
        <v>16</v>
      </c>
      <c r="B36" s="17" t="n">
        <f aca="false">IF(A36&lt;=$B$12, MAX(0.7, 1-$B$11*A36), MAX(0.7, 1-$B$11*(A36-$B$12)))</f>
        <v>0.92</v>
      </c>
      <c r="C36" s="18" t="n">
        <f aca="false">$B$8*B36</f>
        <v>44.6292</v>
      </c>
      <c r="D36" s="16" t="n">
        <f aca="false">C36*365</f>
        <v>16289.658</v>
      </c>
      <c r="E36" s="19" t="n">
        <f aca="false">$B$14*$B$15</f>
        <v>1150</v>
      </c>
      <c r="F36" s="16" t="n">
        <f aca="false">-$B$9*$B$7</f>
        <v>-2436</v>
      </c>
      <c r="G36" s="1" t="n">
        <v>0</v>
      </c>
      <c r="H36" s="16" t="n">
        <f aca="false">D36+F36+G36</f>
        <v>13853.658</v>
      </c>
      <c r="I36" s="20" t="n">
        <f aca="false">1/(1+$B$10)^A36</f>
        <v>0.36345376132399</v>
      </c>
      <c r="J36" s="16" t="n">
        <f aca="false">H36*I36</f>
        <v>5035.16410819618</v>
      </c>
      <c r="K36" s="16" t="n">
        <f aca="false">K35+J36</f>
        <v>-62971.951968735</v>
      </c>
    </row>
    <row r="37" customFormat="false" ht="15" hidden="false" customHeight="true" outlineLevel="0" collapsed="false">
      <c r="A37" s="1" t="n">
        <v>17</v>
      </c>
      <c r="B37" s="17" t="n">
        <f aca="false">IF(A37&lt;=$B$12, MAX(0.7, 1-$B$11*A37), MAX(0.7, 1-$B$11*(A37-$B$12)))</f>
        <v>0.9</v>
      </c>
      <c r="C37" s="18" t="n">
        <f aca="false">$B$8*B37</f>
        <v>43.659</v>
      </c>
      <c r="D37" s="16" t="n">
        <f aca="false">C37*365</f>
        <v>15935.535</v>
      </c>
      <c r="E37" s="19" t="n">
        <f aca="false">$B$14*$B$15</f>
        <v>1150</v>
      </c>
      <c r="F37" s="16" t="n">
        <f aca="false">-$B$9*$B$7</f>
        <v>-2436</v>
      </c>
      <c r="G37" s="1" t="n">
        <v>0</v>
      </c>
      <c r="H37" s="16" t="n">
        <f aca="false">D37+F37+G37</f>
        <v>13499.535</v>
      </c>
      <c r="I37" s="20" t="n">
        <f aca="false">1/(1+$B$10)^A37</f>
        <v>0.341175031750671</v>
      </c>
      <c r="J37" s="16" t="n">
        <f aca="false">H37*I37</f>
        <v>4605.70428224429</v>
      </c>
      <c r="K37" s="16" t="n">
        <f aca="false">K36+J37</f>
        <v>-58366.2476864907</v>
      </c>
    </row>
    <row r="38" customFormat="false" ht="15" hidden="false" customHeight="true" outlineLevel="0" collapsed="false">
      <c r="A38" s="1" t="n">
        <v>18</v>
      </c>
      <c r="B38" s="17" t="n">
        <f aca="false">IF(A38&lt;=$B$12, MAX(0.7, 1-$B$11*A38), MAX(0.7, 1-$B$11*(A38-$B$12)))</f>
        <v>0.88</v>
      </c>
      <c r="C38" s="18" t="n">
        <f aca="false">$B$8*B38</f>
        <v>42.6888</v>
      </c>
      <c r="D38" s="16" t="n">
        <f aca="false">C38*365</f>
        <v>15581.412</v>
      </c>
      <c r="E38" s="19" t="n">
        <f aca="false">$B$14*$B$15</f>
        <v>1150</v>
      </c>
      <c r="F38" s="16" t="n">
        <f aca="false">-$B$9*$B$7</f>
        <v>-2436</v>
      </c>
      <c r="G38" s="1" t="n">
        <v>0</v>
      </c>
      <c r="H38" s="16" t="n">
        <f aca="false">D38+F38+G38</f>
        <v>13145.412</v>
      </c>
      <c r="I38" s="20" t="n">
        <f aca="false">1/(1+$B$10)^A38</f>
        <v>0.320261927861326</v>
      </c>
      <c r="J38" s="16" t="n">
        <f aca="false">H38*I38</f>
        <v>4209.97498965142</v>
      </c>
      <c r="K38" s="16" t="n">
        <f aca="false">K37+J38</f>
        <v>-54156.2726968393</v>
      </c>
    </row>
    <row r="39" customFormat="false" ht="15" hidden="false" customHeight="true" outlineLevel="0" collapsed="false">
      <c r="A39" s="1" t="n">
        <v>19</v>
      </c>
      <c r="B39" s="17" t="n">
        <f aca="false">IF(A39&lt;=$B$12, MAX(0.7, 1-$B$11*A39), MAX(0.7, 1-$B$11*(A39-$B$12)))</f>
        <v>0.86</v>
      </c>
      <c r="C39" s="18" t="n">
        <f aca="false">$B$8*B39</f>
        <v>41.7186</v>
      </c>
      <c r="D39" s="16" t="n">
        <f aca="false">C39*365</f>
        <v>15227.289</v>
      </c>
      <c r="E39" s="19" t="n">
        <f aca="false">$B$14*$B$15</f>
        <v>1150</v>
      </c>
      <c r="F39" s="16" t="n">
        <f aca="false">-$B$9*$B$7</f>
        <v>-2436</v>
      </c>
      <c r="G39" s="1" t="n">
        <v>0</v>
      </c>
      <c r="H39" s="16" t="n">
        <f aca="false">D39+F39+G39</f>
        <v>12791.289</v>
      </c>
      <c r="I39" s="20" t="n">
        <f aca="false">1/(1+$B$10)^A39</f>
        <v>0.300630740506267</v>
      </c>
      <c r="J39" s="16" t="n">
        <f aca="false">H39*I39</f>
        <v>3845.45468409967</v>
      </c>
      <c r="K39" s="16" t="n">
        <f aca="false">K38+J39</f>
        <v>-50310.8180127396</v>
      </c>
    </row>
    <row r="40" customFormat="false" ht="15" hidden="false" customHeight="true" outlineLevel="0" collapsed="false">
      <c r="A40" s="1" t="n">
        <v>20</v>
      </c>
      <c r="B40" s="17" t="n">
        <f aca="false">IF(A40&lt;=$B$12, MAX(0.7, 1-$B$11*A40), MAX(0.7, 1-$B$11*(A40-$B$12)))</f>
        <v>0.84</v>
      </c>
      <c r="C40" s="18" t="n">
        <f aca="false">$B$8*B40</f>
        <v>40.7484</v>
      </c>
      <c r="D40" s="16" t="n">
        <f aca="false">C40*365</f>
        <v>14873.166</v>
      </c>
      <c r="E40" s="19" t="n">
        <f aca="false">$B$14*$B$15</f>
        <v>1150</v>
      </c>
      <c r="F40" s="16" t="n">
        <f aca="false">-$B$9*$B$7</f>
        <v>-2436</v>
      </c>
      <c r="G40" s="1" t="n">
        <v>0</v>
      </c>
      <c r="H40" s="16" t="n">
        <f aca="false">D40+F40+G40</f>
        <v>12437.166</v>
      </c>
      <c r="I40" s="20" t="n">
        <f aca="false">1/(1+$B$10)^A40</f>
        <v>0.28220289167959</v>
      </c>
      <c r="J40" s="16" t="n">
        <f aca="false">H40*I40</f>
        <v>3509.80420949908</v>
      </c>
      <c r="K40" s="16" t="n">
        <f aca="false">K39+J40</f>
        <v>-46801.0138032405</v>
      </c>
    </row>
    <row r="42" customFormat="false" ht="15" hidden="false" customHeight="true" outlineLevel="0" collapsed="false">
      <c r="A42" s="4" t="s">
        <v>145</v>
      </c>
      <c r="B42" s="5"/>
      <c r="C42" s="5"/>
      <c r="D42" s="5"/>
    </row>
    <row r="43" customFormat="false" ht="15" hidden="false" customHeight="true" outlineLevel="0" collapsed="false">
      <c r="A43" s="1" t="s">
        <v>116</v>
      </c>
      <c r="B43" s="16" t="n">
        <f aca="false">B7</f>
        <v>162400</v>
      </c>
    </row>
    <row r="44" customFormat="false" ht="15" hidden="false" customHeight="true" outlineLevel="0" collapsed="false">
      <c r="A44" s="1" t="s">
        <v>146</v>
      </c>
      <c r="B44" s="21" t="n">
        <f aca="false">K40</f>
        <v>-46801.0138032405</v>
      </c>
    </row>
    <row r="45" customFormat="false" ht="15" hidden="false" customHeight="true" outlineLevel="0" collapsed="false">
      <c r="A45" s="1" t="s">
        <v>147</v>
      </c>
      <c r="B45" s="21" t="n">
        <f aca="false">K40+B16</f>
        <v>-25706.2612533543</v>
      </c>
    </row>
    <row r="46" customFormat="false" ht="15" hidden="false" customHeight="true" outlineLevel="0" collapsed="false">
      <c r="A46" s="22" t="s">
        <v>148</v>
      </c>
      <c r="B46" s="23" t="n">
        <f aca="false">B7/(D21)</f>
        <v>9.35913711983044</v>
      </c>
    </row>
    <row r="47" customFormat="false" ht="15" hidden="false" customHeight="true" outlineLevel="0" collapsed="false">
      <c r="A47" s="22" t="s">
        <v>149</v>
      </c>
      <c r="B47" s="16" t="n">
        <f aca="false">D21</f>
        <v>17352.027</v>
      </c>
    </row>
    <row r="48" customFormat="false" ht="15" hidden="false" customHeight="true" outlineLevel="0" collapsed="false">
      <c r="A48" s="22" t="s">
        <v>150</v>
      </c>
      <c r="B48" s="16" t="n">
        <f aca="false">H21</f>
        <v>14916.027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20"/>
  </cols>
  <sheetData>
    <row r="1" customFormat="false" ht="17.25" hidden="false" customHeight="true" outlineLevel="0" collapsed="false">
      <c r="A1" s="24" t="s">
        <v>155</v>
      </c>
    </row>
    <row r="3" customFormat="false" ht="15" hidden="false" customHeight="true" outlineLevel="0" collapsed="false">
      <c r="A3" s="3" t="s">
        <v>156</v>
      </c>
      <c r="B3" s="3" t="s">
        <v>157</v>
      </c>
      <c r="C3" s="3" t="s">
        <v>158</v>
      </c>
      <c r="D3" s="3" t="s">
        <v>159</v>
      </c>
    </row>
    <row r="4" customFormat="false" ht="15" hidden="false" customHeight="true" outlineLevel="0" collapsed="false">
      <c r="A4" s="1" t="s">
        <v>160</v>
      </c>
      <c r="B4" s="16" t="n">
        <f aca="false">'NPV — 200kWh'!B7</f>
        <v>116000</v>
      </c>
      <c r="C4" s="16" t="n">
        <f aca="false">'NPV — 400kWh'!B7</f>
        <v>162400</v>
      </c>
      <c r="D4" s="16" t="n">
        <f aca="false">C4-B4</f>
        <v>46400</v>
      </c>
    </row>
    <row r="5" customFormat="false" ht="15" hidden="false" customHeight="true" outlineLevel="0" collapsed="false">
      <c r="A5" s="1" t="s">
        <v>161</v>
      </c>
      <c r="B5" s="16" t="n">
        <f aca="false">'NPV — 200kWh'!B8</f>
        <v>36.31</v>
      </c>
      <c r="C5" s="16" t="n">
        <f aca="false">'NPV — 400kWh'!B8</f>
        <v>48.51</v>
      </c>
      <c r="D5" s="16" t="n">
        <f aca="false">C5-B5</f>
        <v>12.2</v>
      </c>
    </row>
    <row r="6" customFormat="false" ht="15" hidden="false" customHeight="true" outlineLevel="0" collapsed="false">
      <c r="A6" s="1" t="s">
        <v>162</v>
      </c>
      <c r="B6" s="16" t="n">
        <f aca="false">'NPV — 200kWh'!D21</f>
        <v>12988.087</v>
      </c>
      <c r="C6" s="16" t="n">
        <f aca="false">'NPV — 400kWh'!D21</f>
        <v>17352.027</v>
      </c>
      <c r="D6" s="16" t="n">
        <f aca="false">C6-B6</f>
        <v>4363.94</v>
      </c>
    </row>
    <row r="7" customFormat="false" ht="15" hidden="false" customHeight="true" outlineLevel="0" collapsed="false">
      <c r="A7" s="1" t="s">
        <v>163</v>
      </c>
      <c r="B7" s="16" t="n">
        <f aca="false">'NPV — 200kWh'!H21</f>
        <v>11248.087</v>
      </c>
      <c r="C7" s="16" t="n">
        <f aca="false">'NPV — 400kWh'!H21</f>
        <v>14916.027</v>
      </c>
      <c r="D7" s="16" t="n">
        <f aca="false">C7-B7</f>
        <v>3667.94</v>
      </c>
    </row>
    <row r="8" customFormat="false" ht="15" hidden="false" customHeight="true" outlineLevel="0" collapsed="false">
      <c r="A8" s="1" t="s">
        <v>164</v>
      </c>
      <c r="B8" s="23" t="n">
        <f aca="false">'NPV — 200kWh'!B46</f>
        <v>8.93126139361401</v>
      </c>
      <c r="C8" s="23" t="n">
        <f aca="false">'NPV — 400kWh'!B46</f>
        <v>9.35913711983044</v>
      </c>
      <c r="D8" s="23" t="n">
        <f aca="false">C8-B8</f>
        <v>0.427875726216431</v>
      </c>
    </row>
    <row r="9" customFormat="false" ht="15" hidden="false" customHeight="true" outlineLevel="0" collapsed="false">
      <c r="A9" s="1" t="s">
        <v>146</v>
      </c>
      <c r="B9" s="16" t="n">
        <f aca="false">'NPV — 200kWh'!B44</f>
        <v>-23267.9110700555</v>
      </c>
      <c r="C9" s="16" t="n">
        <f aca="false">'NPV — 400kWh'!B44</f>
        <v>-46801.0138032405</v>
      </c>
      <c r="D9" s="16" t="n">
        <f aca="false">C9-B9</f>
        <v>-23533.102733185</v>
      </c>
    </row>
    <row r="10" customFormat="false" ht="15" hidden="false" customHeight="true" outlineLevel="0" collapsed="false">
      <c r="A10" s="1" t="s">
        <v>165</v>
      </c>
      <c r="B10" s="16" t="n">
        <f aca="false">'NPV — 200kWh'!B45</f>
        <v>-2173.15852016927</v>
      </c>
      <c r="C10" s="16" t="n">
        <f aca="false">'NPV — 400kWh'!B45</f>
        <v>-25706.2612533543</v>
      </c>
      <c r="D10" s="16" t="n">
        <f aca="false">C10-B10</f>
        <v>-23533.102733185</v>
      </c>
    </row>
    <row r="11" customFormat="false" ht="15" hidden="false" customHeight="true" outlineLevel="0" collapsed="false">
      <c r="A11" s="1" t="s">
        <v>166</v>
      </c>
      <c r="B11" s="1" t="n">
        <v>0</v>
      </c>
      <c r="C11" s="1" t="n">
        <v>0</v>
      </c>
      <c r="D11" s="1" t="n">
        <f aca="false">C11-B11</f>
        <v>0</v>
      </c>
    </row>
    <row r="12" customFormat="false" ht="15" hidden="false" customHeight="true" outlineLevel="0" collapsed="false">
      <c r="A12" s="1" t="s">
        <v>167</v>
      </c>
      <c r="B12" s="1" t="n">
        <v>6</v>
      </c>
      <c r="C12" s="1" t="n">
        <v>3</v>
      </c>
      <c r="D12" s="1" t="n">
        <f aca="false">C12-B12</f>
        <v>-3</v>
      </c>
    </row>
    <row r="15" customFormat="false" ht="15" hidden="false" customHeight="true" outlineLevel="0" collapsed="false">
      <c r="A15" s="11" t="s">
        <v>168</v>
      </c>
    </row>
    <row r="16" customFormat="false" ht="15" hidden="false" customHeight="true" outlineLevel="0" collapsed="false">
      <c r="A16" s="25" t="s">
        <v>156</v>
      </c>
      <c r="B16" s="25" t="s">
        <v>169</v>
      </c>
      <c r="C16" s="25" t="s">
        <v>170</v>
      </c>
      <c r="D16" s="25" t="s">
        <v>159</v>
      </c>
    </row>
    <row r="17" customFormat="false" ht="15" hidden="false" customHeight="true" outlineLevel="0" collapsed="false">
      <c r="A17" s="1" t="s">
        <v>160</v>
      </c>
      <c r="B17" s="16" t="n">
        <f aca="false">'NPV — 200kWh TOU'!B7</f>
        <v>116000</v>
      </c>
      <c r="C17" s="16" t="n">
        <f aca="false">'NPV — 400kWh TOU'!B7</f>
        <v>162400</v>
      </c>
      <c r="D17" s="16" t="n">
        <f aca="false">C17-B17</f>
        <v>46400</v>
      </c>
    </row>
    <row r="18" customFormat="false" ht="15" hidden="false" customHeight="true" outlineLevel="0" collapsed="false">
      <c r="A18" s="1" t="s">
        <v>171</v>
      </c>
      <c r="B18" s="1" t="n">
        <f aca="false">'NPV — 200kWh TOU'!B8</f>
        <v>81.56</v>
      </c>
      <c r="C18" s="1" t="n">
        <f aca="false">'NPV — 400kWh TOU'!B8</f>
        <v>137.58</v>
      </c>
      <c r="D18" s="1" t="n">
        <f aca="false">C18-B18</f>
        <v>56.02</v>
      </c>
    </row>
    <row r="19" customFormat="false" ht="15" hidden="false" customHeight="true" outlineLevel="0" collapsed="false">
      <c r="A19" s="1" t="s">
        <v>162</v>
      </c>
      <c r="B19" s="16" t="n">
        <f aca="false">'NPV — 200kWh TOU'!D21</f>
        <v>29193.9942</v>
      </c>
      <c r="C19" s="16" t="n">
        <f aca="false">'NPV — 400kWh TOU'!D21</f>
        <v>49246.0731</v>
      </c>
      <c r="D19" s="16" t="n">
        <f aca="false">C19-B19</f>
        <v>20052.0789</v>
      </c>
    </row>
    <row r="20" customFormat="false" ht="15" hidden="false" customHeight="true" outlineLevel="0" collapsed="false">
      <c r="A20" s="1" t="s">
        <v>163</v>
      </c>
      <c r="B20" s="16" t="n">
        <f aca="false">'NPV — 200kWh TOU'!H21</f>
        <v>27453.9942</v>
      </c>
      <c r="C20" s="16" t="n">
        <f aca="false">'NPV — 400kWh TOU'!H21</f>
        <v>46810.0731</v>
      </c>
      <c r="D20" s="16" t="n">
        <f aca="false">C20-B20</f>
        <v>19356.0789</v>
      </c>
    </row>
    <row r="21" customFormat="false" ht="15" hidden="false" customHeight="true" outlineLevel="0" collapsed="false">
      <c r="A21" s="1" t="s">
        <v>164</v>
      </c>
      <c r="B21" s="23" t="n">
        <f aca="false">'NPV — 200kWh TOU'!B44</f>
        <v>4.22525040090524</v>
      </c>
      <c r="C21" s="23" t="n">
        <f aca="false">'NPV — 400kWh TOU'!B44</f>
        <v>3.46933873940052</v>
      </c>
      <c r="D21" s="23" t="n">
        <f aca="false">C21-B21</f>
        <v>-0.75591166150472</v>
      </c>
    </row>
    <row r="22" customFormat="false" ht="15" hidden="false" customHeight="true" outlineLevel="0" collapsed="false">
      <c r="A22" s="1" t="s">
        <v>146</v>
      </c>
      <c r="B22" s="16" t="n">
        <f aca="false">'NPV — 200kWh TOU'!B42</f>
        <v>139082.691299643</v>
      </c>
      <c r="C22" s="16" t="n">
        <f aca="false">'NPV — 400kWh TOU'!B42</f>
        <v>272713.193728563</v>
      </c>
      <c r="D22" s="16" t="n">
        <f aca="false">C22-B22</f>
        <v>133630.50242892</v>
      </c>
    </row>
    <row r="23" customFormat="false" ht="15" hidden="false" customHeight="true" outlineLevel="0" collapsed="false">
      <c r="A23" s="1" t="s">
        <v>165</v>
      </c>
      <c r="B23" s="16" t="n">
        <f aca="false">'NPV — 200kWh TOU'!B43</f>
        <v>160177.44384953</v>
      </c>
      <c r="C23" s="16" t="n">
        <f aca="false">'NPV — 400kWh TOU'!B43</f>
        <v>293807.946278449</v>
      </c>
      <c r="D23" s="16" t="n">
        <f aca="false">C23-B23</f>
        <v>133630.50242892</v>
      </c>
    </row>
    <row r="24" customFormat="false" ht="15" hidden="false" customHeight="true" outlineLevel="0" collapsed="false">
      <c r="A24" s="1" t="s">
        <v>166</v>
      </c>
      <c r="B24" s="1" t="n">
        <v>0</v>
      </c>
      <c r="C24" s="1" t="n">
        <v>0</v>
      </c>
      <c r="D24" s="1" t="n">
        <v>0</v>
      </c>
    </row>
    <row r="27" customFormat="false" ht="15" hidden="false" customHeight="true" outlineLevel="0" collapsed="false">
      <c r="A27" s="11" t="s">
        <v>172</v>
      </c>
    </row>
    <row r="28" customFormat="false" ht="15" hidden="false" customHeight="true" outlineLevel="0" collapsed="false">
      <c r="A28" s="26" t="s">
        <v>156</v>
      </c>
      <c r="B28" s="26" t="s">
        <v>173</v>
      </c>
      <c r="C28" s="26" t="s">
        <v>174</v>
      </c>
      <c r="D28" s="26" t="s">
        <v>175</v>
      </c>
    </row>
    <row r="29" customFormat="false" ht="15" hidden="false" customHeight="true" outlineLevel="0" collapsed="false">
      <c r="A29" s="1" t="s">
        <v>176</v>
      </c>
      <c r="B29" s="18" t="n">
        <f aca="false">B5</f>
        <v>36.31</v>
      </c>
      <c r="C29" s="18" t="n">
        <f aca="false">B18</f>
        <v>81.56</v>
      </c>
      <c r="D29" s="18" t="n">
        <f aca="false">C29-B29</f>
        <v>45.25</v>
      </c>
    </row>
    <row r="30" customFormat="false" ht="15" hidden="false" customHeight="true" outlineLevel="0" collapsed="false">
      <c r="A30" s="1" t="s">
        <v>177</v>
      </c>
      <c r="B30" s="16" t="n">
        <f aca="false">B6</f>
        <v>12988.087</v>
      </c>
      <c r="C30" s="16" t="n">
        <f aca="false">B19</f>
        <v>29193.9942</v>
      </c>
      <c r="D30" s="16" t="n">
        <f aca="false">C30-B30</f>
        <v>16205.9072</v>
      </c>
    </row>
    <row r="31" customFormat="false" ht="15" hidden="false" customHeight="true" outlineLevel="0" collapsed="false">
      <c r="A31" s="1" t="s">
        <v>178</v>
      </c>
      <c r="B31" s="23" t="n">
        <f aca="false">B8</f>
        <v>8.93126139361401</v>
      </c>
      <c r="C31" s="23" t="n">
        <f aca="false">B21</f>
        <v>4.22525040090524</v>
      </c>
      <c r="D31" s="23" t="n">
        <f aca="false">C31-B31</f>
        <v>-4.70601099270877</v>
      </c>
    </row>
    <row r="32" customFormat="false" ht="15" hidden="false" customHeight="true" outlineLevel="0" collapsed="false">
      <c r="A32" s="1" t="s">
        <v>146</v>
      </c>
      <c r="B32" s="16" t="n">
        <f aca="false">B9</f>
        <v>-23267.9110700555</v>
      </c>
      <c r="C32" s="16" t="n">
        <f aca="false">B22</f>
        <v>139082.691299643</v>
      </c>
      <c r="D32" s="16" t="n">
        <f aca="false">C32-B32</f>
        <v>162350.602369699</v>
      </c>
    </row>
    <row r="33" customFormat="false" ht="15" hidden="false" customHeight="true" outlineLevel="0" collapsed="false">
      <c r="A33" s="1" t="s">
        <v>179</v>
      </c>
      <c r="B33" s="16" t="n">
        <f aca="false">B10</f>
        <v>-2173.15852016927</v>
      </c>
      <c r="C33" s="16" t="n">
        <f aca="false">B23</f>
        <v>160177.44384953</v>
      </c>
      <c r="D33" s="16" t="n">
        <f aca="false">C33-B33</f>
        <v>162350.602369699</v>
      </c>
    </row>
    <row r="34" customFormat="false" ht="15" hidden="false" customHeight="true" outlineLevel="0" collapsed="false">
      <c r="A34" s="1" t="s">
        <v>180</v>
      </c>
      <c r="D34" s="27" t="n">
        <f aca="false">C29/B29</f>
        <v>2.24621316441752</v>
      </c>
    </row>
    <row r="36" customFormat="false" ht="15" hidden="false" customHeight="true" outlineLevel="0" collapsed="false">
      <c r="A36" s="11" t="s">
        <v>181</v>
      </c>
    </row>
    <row r="37" customFormat="false" ht="15" hidden="false" customHeight="true" outlineLevel="0" collapsed="false">
      <c r="A37" s="1" t="s">
        <v>182</v>
      </c>
    </row>
    <row r="38" customFormat="false" ht="15" hidden="false" customHeight="true" outlineLevel="0" collapsed="false">
      <c r="A38" s="1" t="s">
        <v>183</v>
      </c>
    </row>
    <row r="39" customFormat="false" ht="15" hidden="false" customHeight="true" outlineLevel="0" collapsed="false">
      <c r="A39" s="1" t="s">
        <v>184</v>
      </c>
    </row>
    <row r="40" customFormat="false" ht="15" hidden="false" customHeight="true" outlineLevel="0" collapsed="false">
      <c r="A40" s="1" t="s">
        <v>185</v>
      </c>
    </row>
    <row r="42" customFormat="false" ht="15" hidden="false" customHeight="true" outlineLevel="0" collapsed="false">
      <c r="A42" s="11" t="s">
        <v>186</v>
      </c>
    </row>
    <row r="43" customFormat="false" ht="15" hidden="false" customHeight="true" outlineLevel="0" collapsed="false">
      <c r="A43" s="11" t="s">
        <v>156</v>
      </c>
      <c r="B43" s="11" t="s">
        <v>173</v>
      </c>
      <c r="C43" s="11" t="s">
        <v>174</v>
      </c>
      <c r="D43" s="11" t="s">
        <v>159</v>
      </c>
    </row>
    <row r="44" customFormat="false" ht="15" hidden="false" customHeight="true" outlineLevel="0" collapsed="false">
      <c r="A44" s="1" t="s">
        <v>187</v>
      </c>
      <c r="B44" s="12" t="n">
        <v>37422</v>
      </c>
      <c r="C44" s="12" t="n">
        <v>29790</v>
      </c>
      <c r="D44" s="1" t="n">
        <f aca="false">C44-B44</f>
        <v>-7632</v>
      </c>
    </row>
    <row r="45" customFormat="false" ht="15" hidden="false" customHeight="true" outlineLevel="0" collapsed="false">
      <c r="A45" s="1" t="s">
        <v>188</v>
      </c>
      <c r="B45" s="1" t="s">
        <v>189</v>
      </c>
      <c r="C45" s="1" t="s">
        <v>190</v>
      </c>
    </row>
    <row r="46" customFormat="false" ht="15" hidden="false" customHeight="true" outlineLevel="0" collapsed="false">
      <c r="A46" s="1" t="s">
        <v>191</v>
      </c>
      <c r="B46" s="1" t="n">
        <v>0</v>
      </c>
      <c r="C46" s="1" t="n">
        <v>0</v>
      </c>
      <c r="D46" s="1" t="s">
        <v>192</v>
      </c>
    </row>
    <row r="47" customFormat="false" ht="15" hidden="false" customHeight="true" outlineLevel="0" collapsed="false">
      <c r="A47" s="1" t="s">
        <v>193</v>
      </c>
      <c r="B47" s="1" t="s">
        <v>194</v>
      </c>
      <c r="C47" s="1" t="s">
        <v>195</v>
      </c>
    </row>
    <row r="48" customFormat="false" ht="15" hidden="false" customHeight="true" outlineLevel="0" collapsed="false">
      <c r="A48" s="1" t="s">
        <v>196</v>
      </c>
      <c r="B48" s="1" t="s">
        <v>197</v>
      </c>
      <c r="C48" s="1" t="s">
        <v>198</v>
      </c>
    </row>
    <row r="49" customFormat="false" ht="15" hidden="false" customHeight="true" outlineLevel="0" collapsed="false">
      <c r="A49" s="1" t="s">
        <v>86</v>
      </c>
      <c r="B49" s="12" t="n">
        <v>13303</v>
      </c>
      <c r="C49" s="12" t="n">
        <v>29790</v>
      </c>
      <c r="D49" s="1" t="n">
        <f aca="false">C49-B49</f>
        <v>16487</v>
      </c>
    </row>
    <row r="50" customFormat="false" ht="15" hidden="false" customHeight="true" outlineLevel="0" collapsed="false">
      <c r="A50" s="1" t="s">
        <v>199</v>
      </c>
      <c r="B50" s="12" t="n">
        <v>1239</v>
      </c>
      <c r="C50" s="1" t="s">
        <v>200</v>
      </c>
      <c r="D50" s="1" t="s">
        <v>201</v>
      </c>
    </row>
    <row r="52" customFormat="false" ht="15" hidden="false" customHeight="true" outlineLevel="0" collapsed="false">
      <c r="A52" s="11" t="s">
        <v>202</v>
      </c>
    </row>
    <row r="53" customFormat="false" ht="15" hidden="false" customHeight="true" outlineLevel="0" collapsed="false">
      <c r="A53" s="11" t="s">
        <v>203</v>
      </c>
      <c r="B53" s="11" t="s">
        <v>204</v>
      </c>
      <c r="C53" s="11" t="s">
        <v>205</v>
      </c>
      <c r="D53" s="11" t="s">
        <v>206</v>
      </c>
    </row>
    <row r="54" customFormat="false" ht="15" hidden="false" customHeight="true" outlineLevel="0" collapsed="false">
      <c r="A54" s="1" t="s">
        <v>207</v>
      </c>
      <c r="B54" s="12" t="n">
        <v>37422</v>
      </c>
      <c r="C54" s="1" t="n">
        <f aca="false">B54/365.25</f>
        <v>102.455852156057</v>
      </c>
      <c r="D54" s="1" t="s">
        <v>189</v>
      </c>
    </row>
    <row r="55" customFormat="false" ht="15" hidden="false" customHeight="true" outlineLevel="0" collapsed="false">
      <c r="A55" s="1" t="s">
        <v>208</v>
      </c>
      <c r="B55" s="12" t="n">
        <v>13303</v>
      </c>
      <c r="C55" s="1" t="n">
        <f aca="false">B55/365.25</f>
        <v>36.4216290212183</v>
      </c>
      <c r="D55" s="1" t="s">
        <v>209</v>
      </c>
    </row>
    <row r="56" customFormat="false" ht="15" hidden="false" customHeight="true" outlineLevel="0" collapsed="false">
      <c r="A56" s="1" t="s">
        <v>210</v>
      </c>
      <c r="B56" s="12" t="n">
        <v>13249</v>
      </c>
      <c r="C56" s="1" t="n">
        <f aca="false">B56/365.25</f>
        <v>36.2737850787132</v>
      </c>
      <c r="D56" s="1" t="s">
        <v>211</v>
      </c>
    </row>
    <row r="57" customFormat="false" ht="15" hidden="false" customHeight="true" outlineLevel="0" collapsed="false">
      <c r="A57" s="1" t="s">
        <v>212</v>
      </c>
      <c r="B57" s="12" t="n">
        <v>29790</v>
      </c>
      <c r="C57" s="1" t="n">
        <v>81.56</v>
      </c>
      <c r="D57" s="1" t="s">
        <v>213</v>
      </c>
    </row>
    <row r="59" customFormat="false" ht="15" hidden="false" customHeight="true" outlineLevel="0" collapsed="false">
      <c r="A59" s="11" t="s">
        <v>214</v>
      </c>
    </row>
    <row r="60" customFormat="false" ht="15" hidden="false" customHeight="true" outlineLevel="0" collapsed="false">
      <c r="A60" s="11" t="s">
        <v>203</v>
      </c>
      <c r="B60" s="11" t="s">
        <v>137</v>
      </c>
      <c r="C60" s="11" t="s">
        <v>215</v>
      </c>
      <c r="D60" s="11" t="s">
        <v>216</v>
      </c>
    </row>
    <row r="61" customFormat="false" ht="15" hidden="false" customHeight="true" outlineLevel="0" collapsed="false">
      <c r="A61" s="1" t="s">
        <v>217</v>
      </c>
      <c r="B61" s="12" t="n">
        <f aca="false">'NPV — 200kWh'!D21</f>
        <v>12988.087</v>
      </c>
      <c r="C61" s="12" t="n">
        <f aca="false">'NPV — 200kWh'!K40</f>
        <v>-23267.9110700555</v>
      </c>
      <c r="D61" s="23" t="n">
        <f aca="false">'NPV — 200kWh'!B46</f>
        <v>8.93126139361401</v>
      </c>
    </row>
    <row r="62" customFormat="false" ht="15" hidden="false" customHeight="true" outlineLevel="0" collapsed="false">
      <c r="A62" s="1" t="s">
        <v>218</v>
      </c>
      <c r="B62" s="12" t="n">
        <f aca="false">'NPV — Spot Full Year'!B8</f>
        <v>37422</v>
      </c>
      <c r="C62" s="12" t="n">
        <f aca="false">'NPV — Spot Full Year'!B42</f>
        <v>214012.90027269</v>
      </c>
      <c r="D62" s="23" t="n">
        <f aca="false">'NPV — Spot Full Year'!B45</f>
        <v>3.25093884871924</v>
      </c>
    </row>
    <row r="63" customFormat="false" ht="15" hidden="false" customHeight="true" outlineLevel="0" collapsed="false">
      <c r="A63" s="1" t="s">
        <v>219</v>
      </c>
      <c r="B63" s="12" t="n">
        <f aca="false">'NPV — Spot Conservative'!B8</f>
        <v>13303</v>
      </c>
      <c r="C63" s="12" t="n">
        <f aca="false">'NPV — Spot Conservative'!B42</f>
        <v>-22778.5022464899</v>
      </c>
      <c r="D63" s="23" t="n">
        <f aca="false">'NPV — Spot Conservative'!B45</f>
        <v>10.0319986162761</v>
      </c>
    </row>
    <row r="64" customFormat="false" ht="15" hidden="false" customHeight="true" outlineLevel="0" collapsed="false">
      <c r="A64" s="1" t="s">
        <v>212</v>
      </c>
      <c r="B64" s="12" t="n">
        <f aca="false">'NPV — 200kWh TOU'!D21</f>
        <v>29193.9942</v>
      </c>
      <c r="C64" s="12" t="n">
        <f aca="false">'NPV — 200kWh TOU'!K40</f>
        <v>139082.691299643</v>
      </c>
      <c r="D64" s="23" t="n">
        <f aca="false">'NPV — 200kWh TOU'!B46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4"/>
    <col collapsed="false" customWidth="true" hidden="false" outlineLevel="0" max="5" min="4" style="1" width="16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10" min="9" style="1" width="14"/>
    <col collapsed="false" customWidth="true" hidden="false" outlineLevel="0" max="11" min="11" style="1" width="16"/>
  </cols>
  <sheetData>
    <row r="1" customFormat="false" ht="15" hidden="false" customHeight="true" outlineLevel="0" collapsed="false">
      <c r="A1" s="24" t="s">
        <v>220</v>
      </c>
    </row>
    <row r="2" customFormat="false" ht="15" hidden="false" customHeight="true" outlineLevel="0" collapsed="false">
      <c r="A2" s="1" t="s">
        <v>221</v>
      </c>
    </row>
    <row r="4" customFormat="false" ht="15" hidden="false" customHeight="true" outlineLevel="0" collapsed="false">
      <c r="B4" s="25" t="s">
        <v>3</v>
      </c>
      <c r="C4" s="25" t="s">
        <v>4</v>
      </c>
      <c r="D4" s="25" t="s">
        <v>5</v>
      </c>
    </row>
    <row r="5" customFormat="false" ht="15" hidden="false" customHeight="true" outlineLevel="0" collapsed="false">
      <c r="A5" s="1" t="s">
        <v>113</v>
      </c>
      <c r="B5" s="6" t="n">
        <v>200</v>
      </c>
      <c r="C5" s="1" t="s">
        <v>13</v>
      </c>
    </row>
    <row r="6" customFormat="false" ht="15" hidden="false" customHeight="true" outlineLevel="0" collapsed="false">
      <c r="A6" s="1" t="s">
        <v>114</v>
      </c>
      <c r="B6" s="6" t="n">
        <v>580</v>
      </c>
      <c r="C6" s="1" t="s">
        <v>18</v>
      </c>
      <c r="D6" s="1" t="s">
        <v>115</v>
      </c>
    </row>
    <row r="7" customFormat="false" ht="15" hidden="false" customHeight="true" outlineLevel="0" collapsed="false">
      <c r="A7" s="1" t="s">
        <v>116</v>
      </c>
      <c r="B7" s="12" t="n">
        <v>116000</v>
      </c>
      <c r="C7" s="1" t="s">
        <v>64</v>
      </c>
    </row>
    <row r="8" customFormat="false" ht="15" hidden="false" customHeight="true" outlineLevel="0" collapsed="false">
      <c r="A8" s="1" t="s">
        <v>222</v>
      </c>
      <c r="B8" s="6" t="n">
        <v>81.56</v>
      </c>
      <c r="C8" s="1" t="s">
        <v>41</v>
      </c>
      <c r="D8" s="1" t="s">
        <v>223</v>
      </c>
    </row>
    <row r="9" customFormat="false" ht="15" hidden="false" customHeight="true" outlineLevel="0" collapsed="false">
      <c r="A9" s="1" t="s">
        <v>119</v>
      </c>
      <c r="B9" s="1" t="n">
        <v>0.015</v>
      </c>
      <c r="C9" s="1" t="s">
        <v>120</v>
      </c>
      <c r="D9" s="1" t="s">
        <v>121</v>
      </c>
    </row>
    <row r="10" customFormat="false" ht="15" hidden="false" customHeight="true" outlineLevel="0" collapsed="false">
      <c r="A10" s="1" t="s">
        <v>122</v>
      </c>
      <c r="B10" s="6" t="n">
        <v>0.0653</v>
      </c>
      <c r="D10" s="1" t="s">
        <v>123</v>
      </c>
    </row>
    <row r="11" customFormat="false" ht="15" hidden="false" customHeight="true" outlineLevel="0" collapsed="false">
      <c r="A11" s="1" t="s">
        <v>124</v>
      </c>
      <c r="B11" s="6" t="n">
        <v>0.02</v>
      </c>
      <c r="C11" s="1" t="s">
        <v>125</v>
      </c>
      <c r="D11" s="1" t="s">
        <v>126</v>
      </c>
    </row>
    <row r="12" customFormat="false" ht="15" hidden="false" customHeight="true" outlineLevel="0" collapsed="false">
      <c r="A12" s="1" t="s">
        <v>127</v>
      </c>
      <c r="B12" s="1" t="n">
        <v>12</v>
      </c>
    </row>
    <row r="13" customFormat="false" ht="15" hidden="false" customHeight="true" outlineLevel="0" collapsed="false">
      <c r="A13" s="1" t="s">
        <v>128</v>
      </c>
      <c r="B13" s="6" t="n">
        <v>195</v>
      </c>
      <c r="C13" s="1" t="s">
        <v>18</v>
      </c>
      <c r="D13" s="1" t="s">
        <v>224</v>
      </c>
    </row>
    <row r="14" customFormat="false" ht="15" hidden="false" customHeight="true" outlineLevel="0" collapsed="false">
      <c r="A14" s="1" t="s">
        <v>130</v>
      </c>
      <c r="B14" s="1" t="n">
        <v>50</v>
      </c>
      <c r="C14" s="1" t="s">
        <v>8</v>
      </c>
      <c r="D14" s="1" t="s">
        <v>131</v>
      </c>
    </row>
    <row r="15" customFormat="false" ht="15" hidden="false" customHeight="true" outlineLevel="0" collapsed="false">
      <c r="A15" s="1" t="s">
        <v>132</v>
      </c>
      <c r="B15" s="1" t="n">
        <v>23</v>
      </c>
      <c r="C15" s="1" t="s">
        <v>60</v>
      </c>
      <c r="D15" s="1" t="s">
        <v>61</v>
      </c>
    </row>
    <row r="16" customFormat="false" ht="15" hidden="false" customHeight="true" outlineLevel="0" collapsed="false">
      <c r="A16" s="1" t="s">
        <v>77</v>
      </c>
      <c r="B16" s="1" t="n">
        <f aca="false">45000*(1-1/(1+B10)^10)</f>
        <v>21094.7525498863</v>
      </c>
      <c r="C16" s="1" t="s">
        <v>64</v>
      </c>
    </row>
    <row r="18" customFormat="false" ht="15" hidden="false" customHeight="true" outlineLevel="0" collapsed="false">
      <c r="A18" s="11" t="s">
        <v>133</v>
      </c>
    </row>
    <row r="19" customFormat="false" ht="15" hidden="false" customHeight="true" outlineLevel="0" collapsed="false">
      <c r="A19" s="25" t="s">
        <v>134</v>
      </c>
      <c r="B19" s="25" t="s">
        <v>135</v>
      </c>
      <c r="C19" s="25" t="s">
        <v>136</v>
      </c>
      <c r="D19" s="25" t="s">
        <v>137</v>
      </c>
      <c r="E19" s="28" t="s">
        <v>138</v>
      </c>
      <c r="F19" s="25" t="s">
        <v>139</v>
      </c>
      <c r="G19" s="25" t="s">
        <v>140</v>
      </c>
      <c r="H19" s="25" t="s">
        <v>141</v>
      </c>
      <c r="I19" s="25" t="s">
        <v>142</v>
      </c>
      <c r="J19" s="25" t="s">
        <v>143</v>
      </c>
      <c r="K19" s="25" t="s">
        <v>144</v>
      </c>
    </row>
    <row r="20" customFormat="false" ht="15" hidden="false" customHeight="true" outlineLevel="0" collapsed="false">
      <c r="A20" s="1" t="n">
        <v>0</v>
      </c>
      <c r="B20" s="29"/>
      <c r="C20" s="30"/>
      <c r="D20" s="16"/>
      <c r="E20" s="16"/>
      <c r="F20" s="16"/>
      <c r="G20" s="31" t="n">
        <v>-116000</v>
      </c>
      <c r="H20" s="16" t="n">
        <f aca="false">G20</f>
        <v>-116000</v>
      </c>
      <c r="I20" s="32" t="n">
        <v>1</v>
      </c>
      <c r="J20" s="16" t="n">
        <f aca="false">H20*I20</f>
        <v>-116000</v>
      </c>
      <c r="K20" s="16" t="n">
        <f aca="false">J20</f>
        <v>-116000</v>
      </c>
    </row>
    <row r="21" customFormat="false" ht="15" hidden="false" customHeight="true" outlineLevel="0" collapsed="false">
      <c r="A21" s="1" t="n">
        <v>1</v>
      </c>
      <c r="B21" s="29" t="n">
        <f aca="false">1-$B$11*1</f>
        <v>0.98</v>
      </c>
      <c r="C21" s="30" t="n">
        <f aca="false">$B$8*B21</f>
        <v>79.9288</v>
      </c>
      <c r="D21" s="16" t="n">
        <f aca="false">C21*365.25</f>
        <v>29193.9942</v>
      </c>
      <c r="E21" s="19" t="n">
        <f aca="false">$B$14*$B$15</f>
        <v>1150</v>
      </c>
      <c r="F21" s="16" t="n">
        <f aca="false">-$B$7*$B$9</f>
        <v>-1740</v>
      </c>
      <c r="G21" s="16" t="n">
        <v>0</v>
      </c>
      <c r="H21" s="16" t="n">
        <f aca="false">D21+F21+G21</f>
        <v>27453.9942</v>
      </c>
      <c r="I21" s="32" t="n">
        <f aca="false">1/(1+$B$10)^A21</f>
        <v>0.93870271285084</v>
      </c>
      <c r="J21" s="16" t="n">
        <f aca="false">H21*I21</f>
        <v>25771.1388341312</v>
      </c>
      <c r="K21" s="16" t="n">
        <f aca="false">K20+J21</f>
        <v>-90228.8611658688</v>
      </c>
    </row>
    <row r="22" customFormat="false" ht="15" hidden="false" customHeight="true" outlineLevel="0" collapsed="false">
      <c r="A22" s="1" t="n">
        <v>2</v>
      </c>
      <c r="B22" s="29" t="n">
        <f aca="false">1-$B$11*2</f>
        <v>0.96</v>
      </c>
      <c r="C22" s="30" t="n">
        <f aca="false">$B$8*B22</f>
        <v>78.2976</v>
      </c>
      <c r="D22" s="16" t="n">
        <f aca="false">C22*365.25</f>
        <v>28598.1984</v>
      </c>
      <c r="E22" s="19" t="n">
        <f aca="false">$B$14*$B$15</f>
        <v>1150</v>
      </c>
      <c r="F22" s="16" t="n">
        <f aca="false">-$B$7*$B$9</f>
        <v>-1740</v>
      </c>
      <c r="G22" s="16" t="n">
        <v>0</v>
      </c>
      <c r="H22" s="16" t="n">
        <f aca="false">D22+F22+G22</f>
        <v>26858.1984</v>
      </c>
      <c r="I22" s="32" t="n">
        <f aca="false">1/(1+$B$10)^A22</f>
        <v>0.881162783113527</v>
      </c>
      <c r="J22" s="16" t="n">
        <f aca="false">H22*I22</f>
        <v>23666.4448515593</v>
      </c>
      <c r="K22" s="16" t="n">
        <f aca="false">K21+J22</f>
        <v>-66562.4163143095</v>
      </c>
    </row>
    <row r="23" customFormat="false" ht="15" hidden="false" customHeight="true" outlineLevel="0" collapsed="false">
      <c r="A23" s="1" t="n">
        <v>3</v>
      </c>
      <c r="B23" s="29" t="n">
        <f aca="false">1-$B$11*3</f>
        <v>0.94</v>
      </c>
      <c r="C23" s="30" t="n">
        <f aca="false">$B$8*B23</f>
        <v>76.6664</v>
      </c>
      <c r="D23" s="16" t="n">
        <f aca="false">C23*365.25</f>
        <v>28002.4026</v>
      </c>
      <c r="E23" s="19" t="n">
        <f aca="false">$B$14*$B$15</f>
        <v>1150</v>
      </c>
      <c r="F23" s="16" t="n">
        <f aca="false">-$B$7*$B$9</f>
        <v>-1740</v>
      </c>
      <c r="G23" s="16" t="n">
        <v>0</v>
      </c>
      <c r="H23" s="16" t="n">
        <f aca="false">D23+F23+G23</f>
        <v>26262.4026</v>
      </c>
      <c r="I23" s="32" t="n">
        <f aca="false">1/(1+$B$10)^A23</f>
        <v>0.827149894971864</v>
      </c>
      <c r="J23" s="16" t="n">
        <f aca="false">H23*I23</f>
        <v>21722.9435522988</v>
      </c>
      <c r="K23" s="16" t="n">
        <f aca="false">K22+J23</f>
        <v>-44839.4727620107</v>
      </c>
    </row>
    <row r="24" customFormat="false" ht="15" hidden="false" customHeight="true" outlineLevel="0" collapsed="false">
      <c r="A24" s="1" t="n">
        <v>4</v>
      </c>
      <c r="B24" s="29" t="n">
        <f aca="false">1-$B$11*4</f>
        <v>0.92</v>
      </c>
      <c r="C24" s="30" t="n">
        <f aca="false">$B$8*B24</f>
        <v>75.0352</v>
      </c>
      <c r="D24" s="16" t="n">
        <f aca="false">C24*365.25</f>
        <v>27406.6068</v>
      </c>
      <c r="E24" s="19" t="n">
        <f aca="false">$B$14*$B$15</f>
        <v>1150</v>
      </c>
      <c r="F24" s="16" t="n">
        <f aca="false">-$B$7*$B$9</f>
        <v>-1740</v>
      </c>
      <c r="G24" s="16" t="n">
        <v>0</v>
      </c>
      <c r="H24" s="16" t="n">
        <f aca="false">D24+F24+G24</f>
        <v>25666.6068</v>
      </c>
      <c r="I24" s="32" t="n">
        <f aca="false">1/(1+$B$10)^A24</f>
        <v>0.776447850344377</v>
      </c>
      <c r="J24" s="16" t="n">
        <f aca="false">H24*I24</f>
        <v>19928.7816754944</v>
      </c>
      <c r="K24" s="16" t="n">
        <f aca="false">K23+J24</f>
        <v>-24910.6910865163</v>
      </c>
    </row>
    <row r="25" customFormat="false" ht="15" hidden="false" customHeight="true" outlineLevel="0" collapsed="false">
      <c r="A25" s="1" t="n">
        <v>5</v>
      </c>
      <c r="B25" s="29" t="n">
        <f aca="false">1-$B$11*5</f>
        <v>0.9</v>
      </c>
      <c r="C25" s="30" t="n">
        <f aca="false">$B$8*B25</f>
        <v>73.404</v>
      </c>
      <c r="D25" s="16" t="n">
        <f aca="false">C25*365.25</f>
        <v>26810.811</v>
      </c>
      <c r="E25" s="19" t="n">
        <f aca="false">$B$14*$B$15</f>
        <v>1150</v>
      </c>
      <c r="F25" s="16" t="n">
        <f aca="false">-$B$7*$B$9</f>
        <v>-1740</v>
      </c>
      <c r="G25" s="16" t="n">
        <v>0</v>
      </c>
      <c r="H25" s="16" t="n">
        <f aca="false">D25+F25+G25</f>
        <v>25070.811</v>
      </c>
      <c r="I25" s="32" t="n">
        <f aca="false">1/(1+$B$10)^A25</f>
        <v>0.72885370350547</v>
      </c>
      <c r="J25" s="16" t="n">
        <f aca="false">H25*I25</f>
        <v>18272.9534472357</v>
      </c>
      <c r="K25" s="16" t="n">
        <f aca="false">K24+J25</f>
        <v>-6637.73763928065</v>
      </c>
    </row>
    <row r="26" customFormat="false" ht="15" hidden="false" customHeight="true" outlineLevel="0" collapsed="false">
      <c r="A26" s="1" t="n">
        <v>6</v>
      </c>
      <c r="B26" s="29" t="n">
        <f aca="false">1-$B$11*6</f>
        <v>0.88</v>
      </c>
      <c r="C26" s="30" t="n">
        <f aca="false">$B$8*B26</f>
        <v>71.7728</v>
      </c>
      <c r="D26" s="16" t="n">
        <f aca="false">C26*365.25</f>
        <v>26215.0152</v>
      </c>
      <c r="E26" s="19" t="n">
        <f aca="false">$B$14*$B$15</f>
        <v>1150</v>
      </c>
      <c r="F26" s="16" t="n">
        <f aca="false">-$B$7*$B$9</f>
        <v>-1740</v>
      </c>
      <c r="G26" s="16" t="n">
        <v>0</v>
      </c>
      <c r="H26" s="16" t="n">
        <f aca="false">D26+F26+G26</f>
        <v>24475.0152</v>
      </c>
      <c r="I26" s="32" t="n">
        <f aca="false">1/(1+$B$10)^A26</f>
        <v>0.684176948751966</v>
      </c>
      <c r="J26" s="16" t="n">
        <f aca="false">H26*I26</f>
        <v>16745.241220194</v>
      </c>
      <c r="K26" s="16" t="n">
        <f aca="false">K25+J26</f>
        <v>10107.5035809133</v>
      </c>
    </row>
    <row r="27" customFormat="false" ht="15" hidden="false" customHeight="true" outlineLevel="0" collapsed="false">
      <c r="A27" s="1" t="n">
        <v>7</v>
      </c>
      <c r="B27" s="29" t="n">
        <f aca="false">1-$B$11*7</f>
        <v>0.86</v>
      </c>
      <c r="C27" s="30" t="n">
        <f aca="false">$B$8*B27</f>
        <v>70.1416</v>
      </c>
      <c r="D27" s="16" t="n">
        <f aca="false">C27*365.25</f>
        <v>25619.2194</v>
      </c>
      <c r="E27" s="19" t="n">
        <f aca="false">$B$14*$B$15</f>
        <v>1150</v>
      </c>
      <c r="F27" s="16" t="n">
        <f aca="false">-$B$7*$B$9</f>
        <v>-1740</v>
      </c>
      <c r="G27" s="16" t="n">
        <v>0</v>
      </c>
      <c r="H27" s="16" t="n">
        <f aca="false">D27+F27+G27</f>
        <v>23879.2194</v>
      </c>
      <c r="I27" s="32" t="n">
        <f aca="false">1/(1+$B$10)^A27</f>
        <v>0.642238757863481</v>
      </c>
      <c r="J27" s="16" t="n">
        <f aca="false">H27*I27</f>
        <v>15336.1602062055</v>
      </c>
      <c r="K27" s="16" t="n">
        <f aca="false">K26+J27</f>
        <v>25443.6637871189</v>
      </c>
    </row>
    <row r="28" customFormat="false" ht="15" hidden="false" customHeight="true" outlineLevel="0" collapsed="false">
      <c r="A28" s="1" t="n">
        <v>8</v>
      </c>
      <c r="B28" s="29" t="n">
        <f aca="false">1-$B$11*8</f>
        <v>0.84</v>
      </c>
      <c r="C28" s="30" t="n">
        <f aca="false">$B$8*B28</f>
        <v>68.5104</v>
      </c>
      <c r="D28" s="16" t="n">
        <f aca="false">C28*365.25</f>
        <v>25023.4236</v>
      </c>
      <c r="E28" s="19" t="n">
        <f aca="false">$B$14*$B$15</f>
        <v>1150</v>
      </c>
      <c r="F28" s="16" t="n">
        <f aca="false">-$B$7*$B$9</f>
        <v>-1740</v>
      </c>
      <c r="G28" s="16" t="n">
        <v>0</v>
      </c>
      <c r="H28" s="16" t="n">
        <f aca="false">D28+F28+G28</f>
        <v>23283.4236</v>
      </c>
      <c r="I28" s="32" t="n">
        <f aca="false">1/(1+$B$10)^A28</f>
        <v>0.602871264304403</v>
      </c>
      <c r="J28" s="16" t="n">
        <f aca="false">H28*I28</f>
        <v>14036.907023067</v>
      </c>
      <c r="K28" s="16" t="n">
        <f aca="false">K27+J28</f>
        <v>39480.5708101859</v>
      </c>
    </row>
    <row r="29" customFormat="false" ht="15" hidden="false" customHeight="true" outlineLevel="0" collapsed="false">
      <c r="A29" s="1" t="n">
        <v>9</v>
      </c>
      <c r="B29" s="29" t="n">
        <f aca="false">1-$B$11*9</f>
        <v>0.82</v>
      </c>
      <c r="C29" s="30" t="n">
        <f aca="false">$B$8*B29</f>
        <v>66.8792</v>
      </c>
      <c r="D29" s="16" t="n">
        <f aca="false">C29*365.25</f>
        <v>24427.6278</v>
      </c>
      <c r="E29" s="19" t="n">
        <f aca="false">$B$14*$B$15</f>
        <v>1150</v>
      </c>
      <c r="F29" s="16" t="n">
        <f aca="false">-$B$7*$B$9</f>
        <v>-1740</v>
      </c>
      <c r="G29" s="16" t="n">
        <v>0</v>
      </c>
      <c r="H29" s="16" t="n">
        <f aca="false">D29+F29+G29</f>
        <v>22687.6278</v>
      </c>
      <c r="I29" s="32" t="n">
        <f aca="false">1/(1+$B$10)^A29</f>
        <v>0.565916891302359</v>
      </c>
      <c r="J29" s="16" t="n">
        <f aca="false">H29*I29</f>
        <v>12839.311795601</v>
      </c>
      <c r="K29" s="16" t="n">
        <f aca="false">K28+J29</f>
        <v>52319.8826057869</v>
      </c>
    </row>
    <row r="30" customFormat="false" ht="15" hidden="false" customHeight="true" outlineLevel="0" collapsed="false">
      <c r="A30" s="1" t="n">
        <v>10</v>
      </c>
      <c r="B30" s="29" t="n">
        <f aca="false">1-$B$11*10</f>
        <v>0.8</v>
      </c>
      <c r="C30" s="30" t="n">
        <f aca="false">$B$8*B30</f>
        <v>65.248</v>
      </c>
      <c r="D30" s="16" t="n">
        <f aca="false">C30*365.25</f>
        <v>23831.832</v>
      </c>
      <c r="E30" s="19" t="n">
        <f aca="false">$B$14*$B$15</f>
        <v>1150</v>
      </c>
      <c r="F30" s="16" t="n">
        <f aca="false">-$B$7*$B$9</f>
        <v>-1740</v>
      </c>
      <c r="G30" s="16" t="n">
        <v>0</v>
      </c>
      <c r="H30" s="16" t="n">
        <f aca="false">D30+F30+G30</f>
        <v>22091.832</v>
      </c>
      <c r="I30" s="32" t="n">
        <f aca="false">1/(1+$B$10)^A30</f>
        <v>0.531227721113639</v>
      </c>
      <c r="J30" s="16" t="n">
        <f aca="false">H30*I30</f>
        <v>11735.7935685854</v>
      </c>
      <c r="K30" s="16" t="n">
        <f aca="false">K29+J30</f>
        <v>64055.6761743722</v>
      </c>
    </row>
    <row r="31" customFormat="false" ht="15" hidden="false" customHeight="true" outlineLevel="0" collapsed="false">
      <c r="A31" s="1" t="n">
        <v>11</v>
      </c>
      <c r="B31" s="29" t="n">
        <f aca="false">1-$B$11*11</f>
        <v>0.78</v>
      </c>
      <c r="C31" s="30" t="n">
        <f aca="false">$B$8*B31</f>
        <v>63.6168</v>
      </c>
      <c r="D31" s="16" t="n">
        <f aca="false">C31*365.25</f>
        <v>23236.0362</v>
      </c>
      <c r="E31" s="19" t="n">
        <f aca="false">$B$14*$B$15</f>
        <v>1150</v>
      </c>
      <c r="F31" s="16" t="n">
        <f aca="false">-$B$7*$B$9</f>
        <v>-1740</v>
      </c>
      <c r="G31" s="16" t="n">
        <v>0</v>
      </c>
      <c r="H31" s="16" t="n">
        <f aca="false">D31+F31+G31</f>
        <v>21496.0362</v>
      </c>
      <c r="I31" s="32" t="n">
        <f aca="false">1/(1+$B$10)^A31</f>
        <v>0.498664902950942</v>
      </c>
      <c r="J31" s="16" t="n">
        <f aca="false">H31*I31</f>
        <v>10719.3188055029</v>
      </c>
      <c r="K31" s="16" t="n">
        <f aca="false">K30+J31</f>
        <v>74774.9949798752</v>
      </c>
    </row>
    <row r="32" customFormat="false" ht="15" hidden="false" customHeight="true" outlineLevel="0" collapsed="false">
      <c r="A32" s="1" t="n">
        <v>12</v>
      </c>
      <c r="B32" s="29" t="n">
        <f aca="false">1-$B$11*12</f>
        <v>0.76</v>
      </c>
      <c r="C32" s="30" t="n">
        <f aca="false">$B$8*B32</f>
        <v>61.9856</v>
      </c>
      <c r="D32" s="16" t="n">
        <f aca="false">C32*365.25</f>
        <v>22640.2404</v>
      </c>
      <c r="E32" s="19" t="n">
        <f aca="false">$B$14*$B$15</f>
        <v>1150</v>
      </c>
      <c r="F32" s="16" t="n">
        <f aca="false">-$B$7*$B$9</f>
        <v>-1740</v>
      </c>
      <c r="G32" s="31" t="n">
        <v>-39000</v>
      </c>
      <c r="H32" s="16" t="n">
        <f aca="false">D32+F32+G32</f>
        <v>-18099.7596</v>
      </c>
      <c r="I32" s="32" t="n">
        <f aca="false">1/(1+$B$10)^A32</f>
        <v>0.468098097203551</v>
      </c>
      <c r="J32" s="16" t="n">
        <f aca="false">H32*I32</f>
        <v>-8472.4630286017</v>
      </c>
      <c r="K32" s="16" t="n">
        <f aca="false">K31+J32</f>
        <v>66302.5319512735</v>
      </c>
    </row>
    <row r="33" customFormat="false" ht="15" hidden="false" customHeight="true" outlineLevel="0" collapsed="false">
      <c r="A33" s="1" t="n">
        <v>13</v>
      </c>
      <c r="B33" s="29" t="n">
        <f aca="false">1-$B$11*1</f>
        <v>0.98</v>
      </c>
      <c r="C33" s="30" t="n">
        <f aca="false">$B$8*B33</f>
        <v>79.9288</v>
      </c>
      <c r="D33" s="16" t="n">
        <f aca="false">C33*365.25</f>
        <v>29193.9942</v>
      </c>
      <c r="E33" s="19" t="n">
        <f aca="false">$B$14*$B$15</f>
        <v>1150</v>
      </c>
      <c r="F33" s="16" t="n">
        <f aca="false">-$B$7*$B$9</f>
        <v>-1740</v>
      </c>
      <c r="G33" s="16" t="n">
        <v>0</v>
      </c>
      <c r="H33" s="16" t="n">
        <f aca="false">D33+F33+G33</f>
        <v>27453.9942</v>
      </c>
      <c r="I33" s="32" t="n">
        <f aca="false">1/(1+$B$10)^A33</f>
        <v>0.439404953725289</v>
      </c>
      <c r="J33" s="16" t="n">
        <f aca="false">H33*I33</f>
        <v>12063.4210510254</v>
      </c>
      <c r="K33" s="16" t="n">
        <f aca="false">K32+J33</f>
        <v>78365.9530022988</v>
      </c>
    </row>
    <row r="34" customFormat="false" ht="15" hidden="false" customHeight="true" outlineLevel="0" collapsed="false">
      <c r="A34" s="1" t="n">
        <v>14</v>
      </c>
      <c r="B34" s="29" t="n">
        <f aca="false">1-$B$11*2</f>
        <v>0.96</v>
      </c>
      <c r="C34" s="30" t="n">
        <f aca="false">$B$8*B34</f>
        <v>78.2976</v>
      </c>
      <c r="D34" s="16" t="n">
        <f aca="false">C34*365.25</f>
        <v>28598.1984</v>
      </c>
      <c r="E34" s="19" t="n">
        <f aca="false">$B$14*$B$15</f>
        <v>1150</v>
      </c>
      <c r="F34" s="16" t="n">
        <f aca="false">-$B$7*$B$9</f>
        <v>-1740</v>
      </c>
      <c r="G34" s="16" t="n">
        <v>0</v>
      </c>
      <c r="H34" s="16" t="n">
        <f aca="false">D34+F34+G34</f>
        <v>26858.1984</v>
      </c>
      <c r="I34" s="32" t="n">
        <f aca="false">1/(1+$B$10)^A34</f>
        <v>0.412470622102027</v>
      </c>
      <c r="J34" s="16" t="n">
        <f aca="false">H34*I34</f>
        <v>11078.2178025877</v>
      </c>
      <c r="K34" s="16" t="n">
        <f aca="false">K33+J34</f>
        <v>89444.1708048865</v>
      </c>
    </row>
    <row r="35" customFormat="false" ht="15" hidden="false" customHeight="true" outlineLevel="0" collapsed="false">
      <c r="A35" s="1" t="n">
        <v>15</v>
      </c>
      <c r="B35" s="29" t="n">
        <f aca="false">1-$B$11*3</f>
        <v>0.94</v>
      </c>
      <c r="C35" s="30" t="n">
        <f aca="false">$B$8*B35</f>
        <v>76.6664</v>
      </c>
      <c r="D35" s="16" t="n">
        <f aca="false">C35*365.25</f>
        <v>28002.4026</v>
      </c>
      <c r="E35" s="19" t="n">
        <f aca="false">$B$14*$B$15</f>
        <v>1150</v>
      </c>
      <c r="F35" s="16" t="n">
        <f aca="false">-$B$7*$B$9</f>
        <v>-1740</v>
      </c>
      <c r="G35" s="16" t="n">
        <v>0</v>
      </c>
      <c r="H35" s="16" t="n">
        <f aca="false">D35+F35+G35</f>
        <v>26262.4026</v>
      </c>
      <c r="I35" s="32" t="n">
        <f aca="false">1/(1+$B$10)^A35</f>
        <v>0.387187291938446</v>
      </c>
      <c r="J35" s="16" t="n">
        <f aca="false">H35*I35</f>
        <v>10168.4685424912</v>
      </c>
      <c r="K35" s="16" t="n">
        <f aca="false">K34+J35</f>
        <v>99612.6393473777</v>
      </c>
    </row>
    <row r="36" customFormat="false" ht="15" hidden="false" customHeight="true" outlineLevel="0" collapsed="false">
      <c r="A36" s="1" t="n">
        <v>16</v>
      </c>
      <c r="B36" s="29" t="n">
        <f aca="false">1-$B$11*4</f>
        <v>0.92</v>
      </c>
      <c r="C36" s="30" t="n">
        <f aca="false">$B$8*B36</f>
        <v>75.0352</v>
      </c>
      <c r="D36" s="16" t="n">
        <f aca="false">C36*365.25</f>
        <v>27406.6068</v>
      </c>
      <c r="E36" s="19" t="n">
        <f aca="false">$B$14*$B$15</f>
        <v>1150</v>
      </c>
      <c r="F36" s="16" t="n">
        <f aca="false">-$B$7*$B$9</f>
        <v>-1740</v>
      </c>
      <c r="G36" s="16" t="n">
        <v>0</v>
      </c>
      <c r="H36" s="16" t="n">
        <f aca="false">D36+F36+G36</f>
        <v>25666.6068</v>
      </c>
      <c r="I36" s="32" t="n">
        <f aca="false">1/(1+$B$10)^A36</f>
        <v>0.36345376132399</v>
      </c>
      <c r="J36" s="16" t="n">
        <f aca="false">H36*I36</f>
        <v>9328.6247818839</v>
      </c>
      <c r="K36" s="16" t="n">
        <f aca="false">K35+J36</f>
        <v>108941.264129262</v>
      </c>
    </row>
    <row r="37" customFormat="false" ht="15" hidden="false" customHeight="true" outlineLevel="0" collapsed="false">
      <c r="A37" s="1" t="n">
        <v>17</v>
      </c>
      <c r="B37" s="29" t="n">
        <f aca="false">1-$B$11*5</f>
        <v>0.9</v>
      </c>
      <c r="C37" s="30" t="n">
        <f aca="false">$B$8*B37</f>
        <v>73.404</v>
      </c>
      <c r="D37" s="16" t="n">
        <f aca="false">C37*365.25</f>
        <v>26810.811</v>
      </c>
      <c r="E37" s="19" t="n">
        <f aca="false">$B$14*$B$15</f>
        <v>1150</v>
      </c>
      <c r="F37" s="16" t="n">
        <f aca="false">-$B$7*$B$9</f>
        <v>-1740</v>
      </c>
      <c r="G37" s="16" t="n">
        <v>0</v>
      </c>
      <c r="H37" s="16" t="n">
        <f aca="false">D37+F37+G37</f>
        <v>25070.811</v>
      </c>
      <c r="I37" s="32" t="n">
        <f aca="false">1/(1+$B$10)^A37</f>
        <v>0.341175031750671</v>
      </c>
      <c r="J37" s="16" t="n">
        <f aca="false">H37*I37</f>
        <v>8553.53473894007</v>
      </c>
      <c r="K37" s="16" t="n">
        <f aca="false">K36+J37</f>
        <v>117494.798868202</v>
      </c>
    </row>
    <row r="38" customFormat="false" ht="15" hidden="false" customHeight="true" outlineLevel="0" collapsed="false">
      <c r="A38" s="1" t="n">
        <v>18</v>
      </c>
      <c r="B38" s="29" t="n">
        <f aca="false">1-$B$11*6</f>
        <v>0.88</v>
      </c>
      <c r="C38" s="30" t="n">
        <f aca="false">$B$8*B38</f>
        <v>71.7728</v>
      </c>
      <c r="D38" s="16" t="n">
        <f aca="false">C38*365.25</f>
        <v>26215.0152</v>
      </c>
      <c r="E38" s="19" t="n">
        <f aca="false">$B$14*$B$15</f>
        <v>1150</v>
      </c>
      <c r="F38" s="16" t="n">
        <f aca="false">-$B$7*$B$9</f>
        <v>-1740</v>
      </c>
      <c r="G38" s="16" t="n">
        <v>0</v>
      </c>
      <c r="H38" s="16" t="n">
        <f aca="false">D38+F38+G38</f>
        <v>24475.0152</v>
      </c>
      <c r="I38" s="32" t="n">
        <f aca="false">1/(1+$B$10)^A38</f>
        <v>0.320261927861326</v>
      </c>
      <c r="J38" s="16" t="n">
        <f aca="false">H38*I38</f>
        <v>7838.41555238727</v>
      </c>
      <c r="K38" s="16" t="n">
        <f aca="false">K37+J38</f>
        <v>125333.214420589</v>
      </c>
    </row>
    <row r="39" customFormat="false" ht="15" hidden="false" customHeight="true" outlineLevel="0" collapsed="false">
      <c r="A39" s="1" t="n">
        <v>19</v>
      </c>
      <c r="B39" s="29" t="n">
        <f aca="false">1-$B$11*7</f>
        <v>0.86</v>
      </c>
      <c r="C39" s="30" t="n">
        <f aca="false">$B$8*B39</f>
        <v>70.1416</v>
      </c>
      <c r="D39" s="16" t="n">
        <f aca="false">C39*365.25</f>
        <v>25619.2194</v>
      </c>
      <c r="E39" s="19" t="n">
        <f aca="false">$B$14*$B$15</f>
        <v>1150</v>
      </c>
      <c r="F39" s="16" t="n">
        <f aca="false">-$B$7*$B$9</f>
        <v>-1740</v>
      </c>
      <c r="G39" s="16" t="n">
        <v>0</v>
      </c>
      <c r="H39" s="16" t="n">
        <f aca="false">D39+F39+G39</f>
        <v>23879.2194</v>
      </c>
      <c r="I39" s="32" t="n">
        <f aca="false">1/(1+$B$10)^A39</f>
        <v>0.300630740506267</v>
      </c>
      <c r="J39" s="16" t="n">
        <f aca="false">H39*I39</f>
        <v>7178.82741093362</v>
      </c>
      <c r="K39" s="16" t="n">
        <f aca="false">K38+J39</f>
        <v>132512.041831523</v>
      </c>
    </row>
    <row r="40" customFormat="false" ht="15" hidden="false" customHeight="true" outlineLevel="0" collapsed="false">
      <c r="A40" s="1" t="n">
        <v>20</v>
      </c>
      <c r="B40" s="29" t="n">
        <f aca="false">1-$B$11*8</f>
        <v>0.84</v>
      </c>
      <c r="C40" s="30" t="n">
        <f aca="false">$B$8*B40</f>
        <v>68.5104</v>
      </c>
      <c r="D40" s="16" t="n">
        <f aca="false">C40*365.25</f>
        <v>25023.4236</v>
      </c>
      <c r="E40" s="19" t="n">
        <f aca="false">$B$14*$B$15</f>
        <v>1150</v>
      </c>
      <c r="F40" s="16" t="n">
        <f aca="false">-$B$7*$B$9</f>
        <v>-1740</v>
      </c>
      <c r="G40" s="16" t="n">
        <v>0</v>
      </c>
      <c r="H40" s="16" t="n">
        <f aca="false">D40+F40+G40</f>
        <v>23283.4236</v>
      </c>
      <c r="I40" s="32" t="n">
        <f aca="false">1/(1+$B$10)^A40</f>
        <v>0.28220289167959</v>
      </c>
      <c r="J40" s="16" t="n">
        <f aca="false">H40*I40</f>
        <v>6570.64946812081</v>
      </c>
      <c r="K40" s="16" t="n">
        <f aca="false">K39+J40</f>
        <v>139082.691299643</v>
      </c>
    </row>
    <row r="42" customFormat="false" ht="15" hidden="false" customHeight="true" outlineLevel="0" collapsed="false">
      <c r="A42" s="11" t="s">
        <v>225</v>
      </c>
      <c r="B42" s="33" t="n">
        <f aca="false">K40</f>
        <v>139082.691299643</v>
      </c>
    </row>
    <row r="43" customFormat="false" ht="15" hidden="false" customHeight="true" outlineLevel="0" collapsed="false">
      <c r="A43" s="11" t="s">
        <v>165</v>
      </c>
      <c r="B43" s="33" t="n">
        <f aca="false">B42+B16</f>
        <v>160177.44384953</v>
      </c>
    </row>
    <row r="44" customFormat="false" ht="15" hidden="false" customHeight="true" outlineLevel="0" collapsed="false">
      <c r="A44" s="1" t="s">
        <v>164</v>
      </c>
      <c r="B44" s="23" t="n">
        <f aca="false">B7/H21</f>
        <v>4.22525040090524</v>
      </c>
    </row>
    <row r="46" customFormat="false" ht="15" hidden="false" customHeight="true" outlineLevel="0" collapsed="false">
      <c r="A46" s="22" t="s">
        <v>148</v>
      </c>
    </row>
    <row r="47" customFormat="false" ht="15" hidden="false" customHeight="true" outlineLevel="0" collapsed="false">
      <c r="A47" s="22" t="s">
        <v>149</v>
      </c>
    </row>
    <row r="48" customFormat="false" ht="15" hidden="false" customHeight="true" outlineLevel="0" collapsed="false">
      <c r="A48" s="22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4"/>
    <col collapsed="false" customWidth="true" hidden="false" outlineLevel="0" max="5" min="4" style="1" width="16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10" min="9" style="1" width="14"/>
    <col collapsed="false" customWidth="true" hidden="false" outlineLevel="0" max="11" min="11" style="1" width="16"/>
  </cols>
  <sheetData>
    <row r="1" customFormat="false" ht="15" hidden="false" customHeight="true" outlineLevel="0" collapsed="false">
      <c r="A1" s="24" t="s">
        <v>226</v>
      </c>
    </row>
    <row r="2" customFormat="false" ht="15" hidden="false" customHeight="true" outlineLevel="0" collapsed="false">
      <c r="A2" s="1" t="s">
        <v>221</v>
      </c>
    </row>
    <row r="4" customFormat="false" ht="15" hidden="false" customHeight="true" outlineLevel="0" collapsed="false">
      <c r="B4" s="25" t="s">
        <v>3</v>
      </c>
      <c r="C4" s="25" t="s">
        <v>4</v>
      </c>
      <c r="D4" s="25" t="s">
        <v>5</v>
      </c>
    </row>
    <row r="5" customFormat="false" ht="15" hidden="false" customHeight="true" outlineLevel="0" collapsed="false">
      <c r="A5" s="1" t="s">
        <v>113</v>
      </c>
      <c r="B5" s="6" t="n">
        <v>400</v>
      </c>
      <c r="C5" s="1" t="s">
        <v>13</v>
      </c>
    </row>
    <row r="6" customFormat="false" ht="15" hidden="false" customHeight="true" outlineLevel="0" collapsed="false">
      <c r="A6" s="1" t="s">
        <v>114</v>
      </c>
      <c r="B6" s="6" t="n">
        <v>406</v>
      </c>
      <c r="C6" s="1" t="s">
        <v>18</v>
      </c>
      <c r="D6" s="1" t="s">
        <v>152</v>
      </c>
    </row>
    <row r="7" customFormat="false" ht="15" hidden="false" customHeight="true" outlineLevel="0" collapsed="false">
      <c r="A7" s="1" t="s">
        <v>116</v>
      </c>
      <c r="B7" s="12" t="n">
        <v>162400</v>
      </c>
      <c r="C7" s="1" t="s">
        <v>64</v>
      </c>
    </row>
    <row r="8" customFormat="false" ht="15" hidden="false" customHeight="true" outlineLevel="0" collapsed="false">
      <c r="A8" s="1" t="s">
        <v>222</v>
      </c>
      <c r="B8" s="6" t="n">
        <v>137.58</v>
      </c>
      <c r="C8" s="1" t="s">
        <v>41</v>
      </c>
      <c r="D8" s="1" t="s">
        <v>227</v>
      </c>
    </row>
    <row r="9" customFormat="false" ht="15" hidden="false" customHeight="true" outlineLevel="0" collapsed="false">
      <c r="A9" s="1" t="s">
        <v>119</v>
      </c>
      <c r="B9" s="1" t="n">
        <v>0.015</v>
      </c>
      <c r="C9" s="1" t="s">
        <v>120</v>
      </c>
      <c r="D9" s="1" t="s">
        <v>121</v>
      </c>
    </row>
    <row r="10" customFormat="false" ht="15" hidden="false" customHeight="true" outlineLevel="0" collapsed="false">
      <c r="A10" s="1" t="s">
        <v>122</v>
      </c>
      <c r="B10" s="6" t="n">
        <v>0.0653</v>
      </c>
      <c r="D10" s="1" t="s">
        <v>123</v>
      </c>
    </row>
    <row r="11" customFormat="false" ht="15" hidden="false" customHeight="true" outlineLevel="0" collapsed="false">
      <c r="A11" s="1" t="s">
        <v>124</v>
      </c>
      <c r="B11" s="6" t="n">
        <v>0.02</v>
      </c>
      <c r="C11" s="1" t="s">
        <v>125</v>
      </c>
      <c r="D11" s="1" t="s">
        <v>126</v>
      </c>
    </row>
    <row r="12" customFormat="false" ht="15" hidden="false" customHeight="true" outlineLevel="0" collapsed="false">
      <c r="A12" s="1" t="s">
        <v>127</v>
      </c>
      <c r="B12" s="1" t="n">
        <v>12</v>
      </c>
    </row>
    <row r="13" customFormat="false" ht="15" hidden="false" customHeight="true" outlineLevel="0" collapsed="false">
      <c r="A13" s="1" t="s">
        <v>128</v>
      </c>
      <c r="B13" s="6" t="n">
        <v>168</v>
      </c>
      <c r="C13" s="1" t="s">
        <v>18</v>
      </c>
      <c r="D13" s="1" t="s">
        <v>224</v>
      </c>
    </row>
    <row r="14" customFormat="false" ht="15" hidden="false" customHeight="true" outlineLevel="0" collapsed="false">
      <c r="A14" s="1" t="s">
        <v>130</v>
      </c>
      <c r="B14" s="1" t="n">
        <v>50</v>
      </c>
      <c r="C14" s="1" t="s">
        <v>8</v>
      </c>
      <c r="D14" s="1" t="s">
        <v>131</v>
      </c>
    </row>
    <row r="15" customFormat="false" ht="15" hidden="false" customHeight="true" outlineLevel="0" collapsed="false">
      <c r="A15" s="1" t="s">
        <v>132</v>
      </c>
      <c r="B15" s="1" t="n">
        <v>23</v>
      </c>
      <c r="C15" s="1" t="s">
        <v>60</v>
      </c>
      <c r="D15" s="1" t="s">
        <v>61</v>
      </c>
    </row>
    <row r="16" customFormat="false" ht="15" hidden="false" customHeight="true" outlineLevel="0" collapsed="false">
      <c r="A16" s="1" t="s">
        <v>77</v>
      </c>
      <c r="B16" s="1" t="n">
        <f aca="false">45000*(1-1/(1+B10)^10)</f>
        <v>21094.7525498863</v>
      </c>
      <c r="C16" s="1" t="s">
        <v>64</v>
      </c>
    </row>
    <row r="18" customFormat="false" ht="15" hidden="false" customHeight="true" outlineLevel="0" collapsed="false">
      <c r="A18" s="11" t="s">
        <v>133</v>
      </c>
    </row>
    <row r="19" customFormat="false" ht="15" hidden="false" customHeight="true" outlineLevel="0" collapsed="false">
      <c r="A19" s="25" t="s">
        <v>134</v>
      </c>
      <c r="B19" s="25" t="s">
        <v>135</v>
      </c>
      <c r="C19" s="25" t="s">
        <v>136</v>
      </c>
      <c r="D19" s="25" t="s">
        <v>137</v>
      </c>
      <c r="E19" s="28" t="s">
        <v>138</v>
      </c>
      <c r="F19" s="25" t="s">
        <v>139</v>
      </c>
      <c r="G19" s="25" t="s">
        <v>140</v>
      </c>
      <c r="H19" s="25" t="s">
        <v>141</v>
      </c>
      <c r="I19" s="25" t="s">
        <v>142</v>
      </c>
      <c r="J19" s="25" t="s">
        <v>143</v>
      </c>
      <c r="K19" s="25" t="s">
        <v>144</v>
      </c>
    </row>
    <row r="20" customFormat="false" ht="15" hidden="false" customHeight="true" outlineLevel="0" collapsed="false">
      <c r="A20" s="1" t="n">
        <v>0</v>
      </c>
      <c r="B20" s="29"/>
      <c r="C20" s="30"/>
      <c r="D20" s="16"/>
      <c r="E20" s="16"/>
      <c r="F20" s="16"/>
      <c r="G20" s="31" t="n">
        <v>-162400</v>
      </c>
      <c r="H20" s="16" t="n">
        <f aca="false">G20</f>
        <v>-162400</v>
      </c>
      <c r="I20" s="32" t="n">
        <v>1</v>
      </c>
      <c r="J20" s="16" t="n">
        <f aca="false">H20*I20</f>
        <v>-162400</v>
      </c>
      <c r="K20" s="16" t="n">
        <f aca="false">J20</f>
        <v>-162400</v>
      </c>
    </row>
    <row r="21" customFormat="false" ht="15" hidden="false" customHeight="true" outlineLevel="0" collapsed="false">
      <c r="A21" s="1" t="n">
        <v>1</v>
      </c>
      <c r="B21" s="29" t="n">
        <f aca="false">1-$B$11*1</f>
        <v>0.98</v>
      </c>
      <c r="C21" s="30" t="n">
        <f aca="false">$B$8*B21</f>
        <v>134.8284</v>
      </c>
      <c r="D21" s="16" t="n">
        <f aca="false">C21*365.25</f>
        <v>49246.0731</v>
      </c>
      <c r="E21" s="19" t="n">
        <f aca="false">$B$14*$B$15</f>
        <v>1150</v>
      </c>
      <c r="F21" s="16" t="n">
        <f aca="false">-$B$7*$B$9</f>
        <v>-2436</v>
      </c>
      <c r="G21" s="16" t="n">
        <v>0</v>
      </c>
      <c r="H21" s="16" t="n">
        <f aca="false">D21+F21+G21</f>
        <v>46810.0731</v>
      </c>
      <c r="I21" s="32" t="n">
        <f aca="false">1/(1+$B$10)^A21</f>
        <v>0.93870271285084</v>
      </c>
      <c r="J21" s="16" t="n">
        <f aca="false">H21*I21</f>
        <v>43940.7426077161</v>
      </c>
      <c r="K21" s="16" t="n">
        <f aca="false">K20+J21</f>
        <v>-118459.257392284</v>
      </c>
    </row>
    <row r="22" customFormat="false" ht="15" hidden="false" customHeight="true" outlineLevel="0" collapsed="false">
      <c r="A22" s="1" t="n">
        <v>2</v>
      </c>
      <c r="B22" s="29" t="n">
        <f aca="false">1-$B$11*2</f>
        <v>0.96</v>
      </c>
      <c r="C22" s="30" t="n">
        <f aca="false">$B$8*B22</f>
        <v>132.0768</v>
      </c>
      <c r="D22" s="16" t="n">
        <f aca="false">C22*365.25</f>
        <v>48241.0512</v>
      </c>
      <c r="E22" s="19" t="n">
        <f aca="false">$B$14*$B$15</f>
        <v>1150</v>
      </c>
      <c r="F22" s="16" t="n">
        <f aca="false">-$B$7*$B$9</f>
        <v>-2436</v>
      </c>
      <c r="G22" s="16" t="n">
        <v>0</v>
      </c>
      <c r="H22" s="16" t="n">
        <f aca="false">D22+F22+G22</f>
        <v>45805.0512</v>
      </c>
      <c r="I22" s="32" t="n">
        <f aca="false">1/(1+$B$10)^A22</f>
        <v>0.881162783113527</v>
      </c>
      <c r="J22" s="16" t="n">
        <f aca="false">H22*I22</f>
        <v>40361.7063960496</v>
      </c>
      <c r="K22" s="16" t="n">
        <f aca="false">K21+J22</f>
        <v>-78097.5509962342</v>
      </c>
    </row>
    <row r="23" customFormat="false" ht="15" hidden="false" customHeight="true" outlineLevel="0" collapsed="false">
      <c r="A23" s="1" t="n">
        <v>3</v>
      </c>
      <c r="B23" s="29" t="n">
        <f aca="false">1-$B$11*3</f>
        <v>0.94</v>
      </c>
      <c r="C23" s="30" t="n">
        <f aca="false">$B$8*B23</f>
        <v>129.3252</v>
      </c>
      <c r="D23" s="16" t="n">
        <f aca="false">C23*365.25</f>
        <v>47236.0293</v>
      </c>
      <c r="E23" s="19" t="n">
        <f aca="false">$B$14*$B$15</f>
        <v>1150</v>
      </c>
      <c r="F23" s="16" t="n">
        <f aca="false">-$B$7*$B$9</f>
        <v>-2436</v>
      </c>
      <c r="G23" s="16" t="n">
        <v>0</v>
      </c>
      <c r="H23" s="16" t="n">
        <f aca="false">D23+F23+G23</f>
        <v>44800.0293</v>
      </c>
      <c r="I23" s="32" t="n">
        <f aca="false">1/(1+$B$10)^A23</f>
        <v>0.827149894971864</v>
      </c>
      <c r="J23" s="16" t="n">
        <f aca="false">H23*I23</f>
        <v>37056.3395302314</v>
      </c>
      <c r="K23" s="16" t="n">
        <f aca="false">K22+J23</f>
        <v>-41041.2114660028</v>
      </c>
    </row>
    <row r="24" customFormat="false" ht="15" hidden="false" customHeight="true" outlineLevel="0" collapsed="false">
      <c r="A24" s="1" t="n">
        <v>4</v>
      </c>
      <c r="B24" s="29" t="n">
        <f aca="false">1-$B$11*4</f>
        <v>0.92</v>
      </c>
      <c r="C24" s="30" t="n">
        <f aca="false">$B$8*B24</f>
        <v>126.5736</v>
      </c>
      <c r="D24" s="16" t="n">
        <f aca="false">C24*365.25</f>
        <v>46231.0074</v>
      </c>
      <c r="E24" s="19" t="n">
        <f aca="false">$B$14*$B$15</f>
        <v>1150</v>
      </c>
      <c r="F24" s="16" t="n">
        <f aca="false">-$B$7*$B$9</f>
        <v>-2436</v>
      </c>
      <c r="G24" s="16" t="n">
        <v>0</v>
      </c>
      <c r="H24" s="16" t="n">
        <f aca="false">D24+F24+G24</f>
        <v>43795.0074</v>
      </c>
      <c r="I24" s="32" t="n">
        <f aca="false">1/(1+$B$10)^A24</f>
        <v>0.776447850344377</v>
      </c>
      <c r="J24" s="16" t="n">
        <f aca="false">H24*I24</f>
        <v>34004.5393515461</v>
      </c>
      <c r="K24" s="16" t="n">
        <f aca="false">K23+J24</f>
        <v>-7036.67211445672</v>
      </c>
    </row>
    <row r="25" customFormat="false" ht="15" hidden="false" customHeight="true" outlineLevel="0" collapsed="false">
      <c r="A25" s="1" t="n">
        <v>5</v>
      </c>
      <c r="B25" s="29" t="n">
        <f aca="false">1-$B$11*5</f>
        <v>0.9</v>
      </c>
      <c r="C25" s="30" t="n">
        <f aca="false">$B$8*B25</f>
        <v>123.822</v>
      </c>
      <c r="D25" s="16" t="n">
        <f aca="false">C25*365.25</f>
        <v>45225.9855</v>
      </c>
      <c r="E25" s="19" t="n">
        <f aca="false">$B$14*$B$15</f>
        <v>1150</v>
      </c>
      <c r="F25" s="16" t="n">
        <f aca="false">-$B$7*$B$9</f>
        <v>-2436</v>
      </c>
      <c r="G25" s="16" t="n">
        <v>0</v>
      </c>
      <c r="H25" s="16" t="n">
        <f aca="false">D25+F25+G25</f>
        <v>42789.9855</v>
      </c>
      <c r="I25" s="32" t="n">
        <f aca="false">1/(1+$B$10)^A25</f>
        <v>0.72885370350547</v>
      </c>
      <c r="J25" s="16" t="n">
        <f aca="false">H25*I25</f>
        <v>31187.6394046203</v>
      </c>
      <c r="K25" s="16" t="n">
        <f aca="false">K24+J25</f>
        <v>24150.9672901636</v>
      </c>
    </row>
    <row r="26" customFormat="false" ht="15" hidden="false" customHeight="true" outlineLevel="0" collapsed="false">
      <c r="A26" s="1" t="n">
        <v>6</v>
      </c>
      <c r="B26" s="29" t="n">
        <f aca="false">1-$B$11*6</f>
        <v>0.88</v>
      </c>
      <c r="C26" s="30" t="n">
        <f aca="false">$B$8*B26</f>
        <v>121.0704</v>
      </c>
      <c r="D26" s="16" t="n">
        <f aca="false">C26*365.25</f>
        <v>44220.9636</v>
      </c>
      <c r="E26" s="19" t="n">
        <f aca="false">$B$14*$B$15</f>
        <v>1150</v>
      </c>
      <c r="F26" s="16" t="n">
        <f aca="false">-$B$7*$B$9</f>
        <v>-2436</v>
      </c>
      <c r="G26" s="16" t="n">
        <v>0</v>
      </c>
      <c r="H26" s="16" t="n">
        <f aca="false">D26+F26+G26</f>
        <v>41784.9636</v>
      </c>
      <c r="I26" s="32" t="n">
        <f aca="false">1/(1+$B$10)^A26</f>
        <v>0.684176948751966</v>
      </c>
      <c r="J26" s="16" t="n">
        <f aca="false">H26*I26</f>
        <v>28588.30889956</v>
      </c>
      <c r="K26" s="16" t="n">
        <f aca="false">K25+J26</f>
        <v>52739.2761897236</v>
      </c>
    </row>
    <row r="27" customFormat="false" ht="15" hidden="false" customHeight="true" outlineLevel="0" collapsed="false">
      <c r="A27" s="1" t="n">
        <v>7</v>
      </c>
      <c r="B27" s="29" t="n">
        <f aca="false">1-$B$11*7</f>
        <v>0.86</v>
      </c>
      <c r="C27" s="30" t="n">
        <f aca="false">$B$8*B27</f>
        <v>118.3188</v>
      </c>
      <c r="D27" s="16" t="n">
        <f aca="false">C27*365.25</f>
        <v>43215.9417</v>
      </c>
      <c r="E27" s="19" t="n">
        <f aca="false">$B$14*$B$15</f>
        <v>1150</v>
      </c>
      <c r="F27" s="16" t="n">
        <f aca="false">-$B$7*$B$9</f>
        <v>-2436</v>
      </c>
      <c r="G27" s="16" t="n">
        <v>0</v>
      </c>
      <c r="H27" s="16" t="n">
        <f aca="false">D27+F27+G27</f>
        <v>40779.9417</v>
      </c>
      <c r="I27" s="32" t="n">
        <f aca="false">1/(1+$B$10)^A27</f>
        <v>0.642238757863481</v>
      </c>
      <c r="J27" s="16" t="n">
        <f aca="false">H27*I27</f>
        <v>26190.4591031532</v>
      </c>
      <c r="K27" s="16" t="n">
        <f aca="false">K26+J27</f>
        <v>78929.7352928768</v>
      </c>
    </row>
    <row r="28" customFormat="false" ht="15" hidden="false" customHeight="true" outlineLevel="0" collapsed="false">
      <c r="A28" s="1" t="n">
        <v>8</v>
      </c>
      <c r="B28" s="29" t="n">
        <f aca="false">1-$B$11*8</f>
        <v>0.84</v>
      </c>
      <c r="C28" s="30" t="n">
        <f aca="false">$B$8*B28</f>
        <v>115.5672</v>
      </c>
      <c r="D28" s="16" t="n">
        <f aca="false">C28*365.25</f>
        <v>42210.9198</v>
      </c>
      <c r="E28" s="19" t="n">
        <f aca="false">$B$14*$B$15</f>
        <v>1150</v>
      </c>
      <c r="F28" s="16" t="n">
        <f aca="false">-$B$7*$B$9</f>
        <v>-2436</v>
      </c>
      <c r="G28" s="16" t="n">
        <v>0</v>
      </c>
      <c r="H28" s="16" t="n">
        <f aca="false">D28+F28+G28</f>
        <v>39774.9198</v>
      </c>
      <c r="I28" s="32" t="n">
        <f aca="false">1/(1+$B$10)^A28</f>
        <v>0.602871264304403</v>
      </c>
      <c r="J28" s="16" t="n">
        <f aca="false">H28*I28</f>
        <v>23979.1561874323</v>
      </c>
      <c r="K28" s="16" t="n">
        <f aca="false">K27+J28</f>
        <v>102908.891480309</v>
      </c>
    </row>
    <row r="29" customFormat="false" ht="15" hidden="false" customHeight="true" outlineLevel="0" collapsed="false">
      <c r="A29" s="1" t="n">
        <v>9</v>
      </c>
      <c r="B29" s="29" t="n">
        <f aca="false">1-$B$11*9</f>
        <v>0.82</v>
      </c>
      <c r="C29" s="30" t="n">
        <f aca="false">$B$8*B29</f>
        <v>112.8156</v>
      </c>
      <c r="D29" s="16" t="n">
        <f aca="false">C29*365.25</f>
        <v>41205.8979</v>
      </c>
      <c r="E29" s="19" t="n">
        <f aca="false">$B$14*$B$15</f>
        <v>1150</v>
      </c>
      <c r="F29" s="16" t="n">
        <f aca="false">-$B$7*$B$9</f>
        <v>-2436</v>
      </c>
      <c r="G29" s="16" t="n">
        <v>0</v>
      </c>
      <c r="H29" s="16" t="n">
        <f aca="false">D29+F29+G29</f>
        <v>38769.8979</v>
      </c>
      <c r="I29" s="32" t="n">
        <f aca="false">1/(1+$B$10)^A29</f>
        <v>0.565916891302359</v>
      </c>
      <c r="J29" s="16" t="n">
        <f aca="false">H29*I29</f>
        <v>21940.5400956779</v>
      </c>
      <c r="K29" s="16" t="n">
        <f aca="false">K28+J29</f>
        <v>124849.431575987</v>
      </c>
    </row>
    <row r="30" customFormat="false" ht="15" hidden="false" customHeight="true" outlineLevel="0" collapsed="false">
      <c r="A30" s="1" t="n">
        <v>10</v>
      </c>
      <c r="B30" s="29" t="n">
        <f aca="false">1-$B$11*10</f>
        <v>0.8</v>
      </c>
      <c r="C30" s="30" t="n">
        <f aca="false">$B$8*B30</f>
        <v>110.064</v>
      </c>
      <c r="D30" s="16" t="n">
        <f aca="false">C30*365.25</f>
        <v>40200.876</v>
      </c>
      <c r="E30" s="19" t="n">
        <f aca="false">$B$14*$B$15</f>
        <v>1150</v>
      </c>
      <c r="F30" s="16" t="n">
        <f aca="false">-$B$7*$B$9</f>
        <v>-2436</v>
      </c>
      <c r="G30" s="16" t="n">
        <v>0</v>
      </c>
      <c r="H30" s="16" t="n">
        <f aca="false">D30+F30+G30</f>
        <v>37764.876</v>
      </c>
      <c r="I30" s="32" t="n">
        <f aca="false">1/(1+$B$10)^A30</f>
        <v>0.531227721113639</v>
      </c>
      <c r="J30" s="16" t="n">
        <f aca="false">H30*I30</f>
        <v>20061.7490156192</v>
      </c>
      <c r="K30" s="16" t="n">
        <f aca="false">K29+J30</f>
        <v>144911.180591606</v>
      </c>
    </row>
    <row r="31" customFormat="false" ht="15" hidden="false" customHeight="true" outlineLevel="0" collapsed="false">
      <c r="A31" s="1" t="n">
        <v>11</v>
      </c>
      <c r="B31" s="29" t="n">
        <f aca="false">1-$B$11*11</f>
        <v>0.78</v>
      </c>
      <c r="C31" s="30" t="n">
        <f aca="false">$B$8*B31</f>
        <v>107.3124</v>
      </c>
      <c r="D31" s="16" t="n">
        <f aca="false">C31*365.25</f>
        <v>39195.8541</v>
      </c>
      <c r="E31" s="19" t="n">
        <f aca="false">$B$14*$B$15</f>
        <v>1150</v>
      </c>
      <c r="F31" s="16" t="n">
        <f aca="false">-$B$7*$B$9</f>
        <v>-2436</v>
      </c>
      <c r="G31" s="16" t="n">
        <v>0</v>
      </c>
      <c r="H31" s="16" t="n">
        <f aca="false">D31+F31+G31</f>
        <v>36759.8541</v>
      </c>
      <c r="I31" s="32" t="n">
        <f aca="false">1/(1+$B$10)^A31</f>
        <v>0.498664902950942</v>
      </c>
      <c r="J31" s="16" t="n">
        <f aca="false">H31*I31</f>
        <v>18330.8490772673</v>
      </c>
      <c r="K31" s="16" t="n">
        <f aca="false">K30+J31</f>
        <v>163242.029668873</v>
      </c>
    </row>
    <row r="32" customFormat="false" ht="15" hidden="false" customHeight="true" outlineLevel="0" collapsed="false">
      <c r="A32" s="1" t="n">
        <v>12</v>
      </c>
      <c r="B32" s="29" t="n">
        <f aca="false">1-$B$11*12</f>
        <v>0.76</v>
      </c>
      <c r="C32" s="30" t="n">
        <f aca="false">$B$8*B32</f>
        <v>104.5608</v>
      </c>
      <c r="D32" s="16" t="n">
        <f aca="false">C32*365.25</f>
        <v>38190.8322</v>
      </c>
      <c r="E32" s="19" t="n">
        <f aca="false">$B$14*$B$15</f>
        <v>1150</v>
      </c>
      <c r="F32" s="16" t="n">
        <f aca="false">-$B$7*$B$9</f>
        <v>-2436</v>
      </c>
      <c r="G32" s="31" t="n">
        <v>-67200</v>
      </c>
      <c r="H32" s="16" t="n">
        <f aca="false">D32+F32+G32</f>
        <v>-31445.1678</v>
      </c>
      <c r="I32" s="32" t="n">
        <f aca="false">1/(1+$B$10)^A32</f>
        <v>0.468098097203551</v>
      </c>
      <c r="J32" s="16" t="n">
        <f aca="false">H32*I32</f>
        <v>-14719.4232134264</v>
      </c>
      <c r="K32" s="16" t="n">
        <f aca="false">K31+J32</f>
        <v>148522.606455447</v>
      </c>
    </row>
    <row r="33" customFormat="false" ht="15" hidden="false" customHeight="true" outlineLevel="0" collapsed="false">
      <c r="A33" s="1" t="n">
        <v>13</v>
      </c>
      <c r="B33" s="29" t="n">
        <f aca="false">1-$B$11*1</f>
        <v>0.98</v>
      </c>
      <c r="C33" s="30" t="n">
        <f aca="false">$B$8*B33</f>
        <v>134.8284</v>
      </c>
      <c r="D33" s="16" t="n">
        <f aca="false">C33*365.25</f>
        <v>49246.0731</v>
      </c>
      <c r="E33" s="19" t="n">
        <f aca="false">$B$14*$B$15</f>
        <v>1150</v>
      </c>
      <c r="F33" s="16" t="n">
        <f aca="false">-$B$7*$B$9</f>
        <v>-2436</v>
      </c>
      <c r="G33" s="16" t="n">
        <v>0</v>
      </c>
      <c r="H33" s="16" t="n">
        <f aca="false">D33+F33+G33</f>
        <v>46810.0731</v>
      </c>
      <c r="I33" s="32" t="n">
        <f aca="false">1/(1+$B$10)^A33</f>
        <v>0.439404953725289</v>
      </c>
      <c r="J33" s="16" t="n">
        <f aca="false">H33*I33</f>
        <v>20568.5780043829</v>
      </c>
      <c r="K33" s="16" t="n">
        <f aca="false">K32+J33</f>
        <v>169091.18445983</v>
      </c>
    </row>
    <row r="34" customFormat="false" ht="15" hidden="false" customHeight="true" outlineLevel="0" collapsed="false">
      <c r="A34" s="1" t="n">
        <v>14</v>
      </c>
      <c r="B34" s="29" t="n">
        <f aca="false">1-$B$11*2</f>
        <v>0.96</v>
      </c>
      <c r="C34" s="30" t="n">
        <f aca="false">$B$8*B34</f>
        <v>132.0768</v>
      </c>
      <c r="D34" s="16" t="n">
        <f aca="false">C34*365.25</f>
        <v>48241.0512</v>
      </c>
      <c r="E34" s="19" t="n">
        <f aca="false">$B$14*$B$15</f>
        <v>1150</v>
      </c>
      <c r="F34" s="16" t="n">
        <f aca="false">-$B$7*$B$9</f>
        <v>-2436</v>
      </c>
      <c r="G34" s="16" t="n">
        <v>0</v>
      </c>
      <c r="H34" s="16" t="n">
        <f aca="false">D34+F34+G34</f>
        <v>45805.0512</v>
      </c>
      <c r="I34" s="32" t="n">
        <f aca="false">1/(1+$B$10)^A34</f>
        <v>0.412470622102027</v>
      </c>
      <c r="J34" s="16" t="n">
        <f aca="false">H34*I34</f>
        <v>18893.2379638792</v>
      </c>
      <c r="K34" s="16" t="n">
        <f aca="false">K33+J34</f>
        <v>187984.422423709</v>
      </c>
    </row>
    <row r="35" customFormat="false" ht="15" hidden="false" customHeight="true" outlineLevel="0" collapsed="false">
      <c r="A35" s="1" t="n">
        <v>15</v>
      </c>
      <c r="B35" s="29" t="n">
        <f aca="false">1-$B$11*3</f>
        <v>0.94</v>
      </c>
      <c r="C35" s="30" t="n">
        <f aca="false">$B$8*B35</f>
        <v>129.3252</v>
      </c>
      <c r="D35" s="16" t="n">
        <f aca="false">C35*365.25</f>
        <v>47236.0293</v>
      </c>
      <c r="E35" s="19" t="n">
        <f aca="false">$B$14*$B$15</f>
        <v>1150</v>
      </c>
      <c r="F35" s="16" t="n">
        <f aca="false">-$B$7*$B$9</f>
        <v>-2436</v>
      </c>
      <c r="G35" s="16" t="n">
        <v>0</v>
      </c>
      <c r="H35" s="16" t="n">
        <f aca="false">D35+F35+G35</f>
        <v>44800.0293</v>
      </c>
      <c r="I35" s="32" t="n">
        <f aca="false">1/(1+$B$10)^A35</f>
        <v>0.387187291938446</v>
      </c>
      <c r="J35" s="16" t="n">
        <f aca="false">H35*I35</f>
        <v>17346.0020234301</v>
      </c>
      <c r="K35" s="16" t="n">
        <f aca="false">K34+J35</f>
        <v>205330.424447139</v>
      </c>
    </row>
    <row r="36" customFormat="false" ht="15" hidden="false" customHeight="true" outlineLevel="0" collapsed="false">
      <c r="A36" s="1" t="n">
        <v>16</v>
      </c>
      <c r="B36" s="29" t="n">
        <f aca="false">1-$B$11*4</f>
        <v>0.92</v>
      </c>
      <c r="C36" s="30" t="n">
        <f aca="false">$B$8*B36</f>
        <v>126.5736</v>
      </c>
      <c r="D36" s="16" t="n">
        <f aca="false">C36*365.25</f>
        <v>46231.0074</v>
      </c>
      <c r="E36" s="19" t="n">
        <f aca="false">$B$14*$B$15</f>
        <v>1150</v>
      </c>
      <c r="F36" s="16" t="n">
        <f aca="false">-$B$7*$B$9</f>
        <v>-2436</v>
      </c>
      <c r="G36" s="16" t="n">
        <v>0</v>
      </c>
      <c r="H36" s="16" t="n">
        <f aca="false">D36+F36+G36</f>
        <v>43795.0074</v>
      </c>
      <c r="I36" s="32" t="n">
        <f aca="false">1/(1+$B$10)^A36</f>
        <v>0.36345376132399</v>
      </c>
      <c r="J36" s="16" t="n">
        <f aca="false">H36*I36</f>
        <v>15917.460166742</v>
      </c>
      <c r="K36" s="16" t="n">
        <f aca="false">K35+J36</f>
        <v>221247.884613881</v>
      </c>
    </row>
    <row r="37" customFormat="false" ht="15" hidden="false" customHeight="true" outlineLevel="0" collapsed="false">
      <c r="A37" s="1" t="n">
        <v>17</v>
      </c>
      <c r="B37" s="29" t="n">
        <f aca="false">1-$B$11*5</f>
        <v>0.9</v>
      </c>
      <c r="C37" s="30" t="n">
        <f aca="false">$B$8*B37</f>
        <v>123.822</v>
      </c>
      <c r="D37" s="16" t="n">
        <f aca="false">C37*365.25</f>
        <v>45225.9855</v>
      </c>
      <c r="E37" s="19" t="n">
        <f aca="false">$B$14*$B$15</f>
        <v>1150</v>
      </c>
      <c r="F37" s="16" t="n">
        <f aca="false">-$B$7*$B$9</f>
        <v>-2436</v>
      </c>
      <c r="G37" s="16" t="n">
        <v>0</v>
      </c>
      <c r="H37" s="16" t="n">
        <f aca="false">D37+F37+G37</f>
        <v>42789.9855</v>
      </c>
      <c r="I37" s="32" t="n">
        <f aca="false">1/(1+$B$10)^A37</f>
        <v>0.341175031750671</v>
      </c>
      <c r="J37" s="16" t="n">
        <f aca="false">H37*I37</f>
        <v>14598.8746615733</v>
      </c>
      <c r="K37" s="16" t="n">
        <f aca="false">K36+J37</f>
        <v>235846.759275454</v>
      </c>
    </row>
    <row r="38" customFormat="false" ht="15" hidden="false" customHeight="true" outlineLevel="0" collapsed="false">
      <c r="A38" s="1" t="n">
        <v>18</v>
      </c>
      <c r="B38" s="29" t="n">
        <f aca="false">1-$B$11*6</f>
        <v>0.88</v>
      </c>
      <c r="C38" s="30" t="n">
        <f aca="false">$B$8*B38</f>
        <v>121.0704</v>
      </c>
      <c r="D38" s="16" t="n">
        <f aca="false">C38*365.25</f>
        <v>44220.9636</v>
      </c>
      <c r="E38" s="19" t="n">
        <f aca="false">$B$14*$B$15</f>
        <v>1150</v>
      </c>
      <c r="F38" s="16" t="n">
        <f aca="false">-$B$7*$B$9</f>
        <v>-2436</v>
      </c>
      <c r="G38" s="16" t="n">
        <v>0</v>
      </c>
      <c r="H38" s="16" t="n">
        <f aca="false">D38+F38+G38</f>
        <v>41784.9636</v>
      </c>
      <c r="I38" s="32" t="n">
        <f aca="false">1/(1+$B$10)^A38</f>
        <v>0.320261927861326</v>
      </c>
      <c r="J38" s="16" t="n">
        <f aca="false">H38*I38</f>
        <v>13382.1329981514</v>
      </c>
      <c r="K38" s="16" t="n">
        <f aca="false">K37+J38</f>
        <v>249228.892273606</v>
      </c>
    </row>
    <row r="39" customFormat="false" ht="15" hidden="false" customHeight="true" outlineLevel="0" collapsed="false">
      <c r="A39" s="1" t="n">
        <v>19</v>
      </c>
      <c r="B39" s="29" t="n">
        <f aca="false">1-$B$11*7</f>
        <v>0.86</v>
      </c>
      <c r="C39" s="30" t="n">
        <f aca="false">$B$8*B39</f>
        <v>118.3188</v>
      </c>
      <c r="D39" s="16" t="n">
        <f aca="false">C39*365.25</f>
        <v>43215.9417</v>
      </c>
      <c r="E39" s="19" t="n">
        <f aca="false">$B$14*$B$15</f>
        <v>1150</v>
      </c>
      <c r="F39" s="16" t="n">
        <f aca="false">-$B$7*$B$9</f>
        <v>-2436</v>
      </c>
      <c r="G39" s="16" t="n">
        <v>0</v>
      </c>
      <c r="H39" s="16" t="n">
        <f aca="false">D39+F39+G39</f>
        <v>40779.9417</v>
      </c>
      <c r="I39" s="32" t="n">
        <f aca="false">1/(1+$B$10)^A39</f>
        <v>0.300630740506267</v>
      </c>
      <c r="J39" s="16" t="n">
        <f aca="false">H39*I39</f>
        <v>12259.7040710734</v>
      </c>
      <c r="K39" s="16" t="n">
        <f aca="false">K38+J39</f>
        <v>261488.596344679</v>
      </c>
    </row>
    <row r="40" customFormat="false" ht="15" hidden="false" customHeight="true" outlineLevel="0" collapsed="false">
      <c r="A40" s="1" t="n">
        <v>20</v>
      </c>
      <c r="B40" s="29" t="n">
        <f aca="false">1-$B$11*8</f>
        <v>0.84</v>
      </c>
      <c r="C40" s="30" t="n">
        <f aca="false">$B$8*B40</f>
        <v>115.5672</v>
      </c>
      <c r="D40" s="16" t="n">
        <f aca="false">C40*365.25</f>
        <v>42210.9198</v>
      </c>
      <c r="E40" s="19" t="n">
        <f aca="false">$B$14*$B$15</f>
        <v>1150</v>
      </c>
      <c r="F40" s="16" t="n">
        <f aca="false">-$B$7*$B$9</f>
        <v>-2436</v>
      </c>
      <c r="G40" s="16" t="n">
        <v>0</v>
      </c>
      <c r="H40" s="16" t="n">
        <f aca="false">D40+F40+G40</f>
        <v>39774.9198</v>
      </c>
      <c r="I40" s="32" t="n">
        <f aca="false">1/(1+$B$10)^A40</f>
        <v>0.28220289167959</v>
      </c>
      <c r="J40" s="16" t="n">
        <f aca="false">H40*I40</f>
        <v>11224.5973838838</v>
      </c>
      <c r="K40" s="16" t="n">
        <f aca="false">K39+J40</f>
        <v>272713.193728563</v>
      </c>
    </row>
    <row r="42" customFormat="false" ht="15" hidden="false" customHeight="true" outlineLevel="0" collapsed="false">
      <c r="A42" s="11" t="s">
        <v>225</v>
      </c>
      <c r="B42" s="33" t="n">
        <f aca="false">K40</f>
        <v>272713.193728563</v>
      </c>
    </row>
    <row r="43" customFormat="false" ht="15" hidden="false" customHeight="true" outlineLevel="0" collapsed="false">
      <c r="A43" s="11" t="s">
        <v>165</v>
      </c>
      <c r="B43" s="33" t="n">
        <f aca="false">B42+B16</f>
        <v>293807.946278449</v>
      </c>
    </row>
    <row r="44" customFormat="false" ht="15" hidden="false" customHeight="true" outlineLevel="0" collapsed="false">
      <c r="A44" s="1" t="s">
        <v>164</v>
      </c>
      <c r="B44" s="23" t="n">
        <f aca="false">B7/H21</f>
        <v>3.46933873940052</v>
      </c>
    </row>
    <row r="46" customFormat="false" ht="15" hidden="false" customHeight="true" outlineLevel="0" collapsed="false">
      <c r="A46" s="22" t="s">
        <v>148</v>
      </c>
    </row>
    <row r="47" customFormat="false" ht="15" hidden="false" customHeight="true" outlineLevel="0" collapsed="false">
      <c r="A47" s="22" t="s">
        <v>149</v>
      </c>
    </row>
    <row r="48" customFormat="false" ht="15" hidden="false" customHeight="true" outlineLevel="0" collapsed="false">
      <c r="A48" s="22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5" min="2" style="1" width="16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10" min="8" style="1" width="14"/>
    <col collapsed="false" customWidth="true" hidden="false" outlineLevel="0" max="11" min="11" style="1" width="16"/>
  </cols>
  <sheetData>
    <row r="1" customFormat="false" ht="15" hidden="false" customHeight="true" outlineLevel="0" collapsed="false">
      <c r="A1" s="24" t="s">
        <v>228</v>
      </c>
    </row>
    <row r="2" customFormat="false" ht="15" hidden="false" customHeight="true" outlineLevel="0" collapsed="false">
      <c r="A2" s="34" t="s">
        <v>229</v>
      </c>
    </row>
    <row r="4" customFormat="false" ht="15" hidden="false" customHeight="true" outlineLevel="0" collapsed="false">
      <c r="A4" s="11"/>
      <c r="B4" s="11" t="s">
        <v>3</v>
      </c>
      <c r="C4" s="11" t="s">
        <v>4</v>
      </c>
      <c r="D4" s="11" t="s">
        <v>5</v>
      </c>
    </row>
    <row r="5" customFormat="false" ht="15" hidden="false" customHeight="true" outlineLevel="0" collapsed="false">
      <c r="A5" s="1" t="s">
        <v>113</v>
      </c>
      <c r="B5" s="6" t="n">
        <v>200</v>
      </c>
      <c r="C5" s="1" t="s">
        <v>13</v>
      </c>
    </row>
    <row r="6" customFormat="false" ht="15" hidden="false" customHeight="true" outlineLevel="0" collapsed="false">
      <c r="A6" s="1" t="s">
        <v>114</v>
      </c>
      <c r="B6" s="6" t="n">
        <v>580</v>
      </c>
      <c r="C6" s="1" t="s">
        <v>18</v>
      </c>
      <c r="D6" s="1" t="s">
        <v>115</v>
      </c>
    </row>
    <row r="7" customFormat="false" ht="15" hidden="false" customHeight="true" outlineLevel="0" collapsed="false">
      <c r="A7" s="1" t="s">
        <v>116</v>
      </c>
      <c r="B7" s="1" t="n">
        <f aca="false">B5*B6</f>
        <v>116000</v>
      </c>
      <c r="C7" s="1" t="s">
        <v>64</v>
      </c>
    </row>
    <row r="8" customFormat="false" ht="15" hidden="false" customHeight="true" outlineLevel="0" collapsed="false">
      <c r="A8" s="1" t="s">
        <v>230</v>
      </c>
      <c r="B8" s="35" t="n">
        <v>37422</v>
      </c>
      <c r="C8" s="1" t="s">
        <v>80</v>
      </c>
      <c r="D8" s="1" t="s">
        <v>231</v>
      </c>
    </row>
    <row r="9" customFormat="false" ht="15" hidden="false" customHeight="true" outlineLevel="0" collapsed="false">
      <c r="A9" s="1" t="s">
        <v>119</v>
      </c>
      <c r="B9" s="36" t="n">
        <v>0.015</v>
      </c>
      <c r="C9" s="1" t="s">
        <v>120</v>
      </c>
      <c r="D9" s="1" t="s">
        <v>36</v>
      </c>
    </row>
    <row r="10" customFormat="false" ht="15" hidden="false" customHeight="true" outlineLevel="0" collapsed="false">
      <c r="A10" s="1" t="s">
        <v>122</v>
      </c>
      <c r="B10" s="37" t="n">
        <v>0.0653</v>
      </c>
      <c r="D10" s="1" t="s">
        <v>123</v>
      </c>
    </row>
    <row r="11" customFormat="false" ht="15" hidden="false" customHeight="true" outlineLevel="0" collapsed="false">
      <c r="A11" s="1" t="s">
        <v>124</v>
      </c>
      <c r="B11" s="6" t="n">
        <v>0.02</v>
      </c>
      <c r="C11" s="1" t="s">
        <v>125</v>
      </c>
      <c r="D11" s="1" t="s">
        <v>232</v>
      </c>
    </row>
    <row r="12" customFormat="false" ht="15" hidden="false" customHeight="true" outlineLevel="0" collapsed="false">
      <c r="A12" s="1" t="s">
        <v>127</v>
      </c>
      <c r="B12" s="6" t="n">
        <v>12</v>
      </c>
    </row>
    <row r="13" customFormat="false" ht="15" hidden="false" customHeight="true" outlineLevel="0" collapsed="false">
      <c r="A13" s="1" t="s">
        <v>233</v>
      </c>
      <c r="B13" s="6" t="n">
        <v>195</v>
      </c>
      <c r="C13" s="1" t="s">
        <v>18</v>
      </c>
      <c r="D13" s="1" t="s">
        <v>234</v>
      </c>
    </row>
    <row r="14" customFormat="false" ht="15" hidden="false" customHeight="true" outlineLevel="0" collapsed="false">
      <c r="A14" s="1" t="s">
        <v>130</v>
      </c>
      <c r="B14" s="6" t="n">
        <v>50</v>
      </c>
      <c r="C14" s="1" t="s">
        <v>8</v>
      </c>
      <c r="D14" s="1" t="s">
        <v>131</v>
      </c>
    </row>
    <row r="15" customFormat="false" ht="15" hidden="false" customHeight="true" outlineLevel="0" collapsed="false">
      <c r="A15" s="1" t="s">
        <v>132</v>
      </c>
      <c r="B15" s="6" t="n">
        <v>23</v>
      </c>
      <c r="C15" s="1" t="s">
        <v>60</v>
      </c>
      <c r="D15" s="1" t="s">
        <v>61</v>
      </c>
    </row>
    <row r="16" customFormat="false" ht="15" hidden="false" customHeight="true" outlineLevel="0" collapsed="false">
      <c r="A16" s="1" t="s">
        <v>77</v>
      </c>
      <c r="B16" s="12" t="n">
        <f aca="false">45000*(1-1/(1+B10)^10)</f>
        <v>21094.7525498863</v>
      </c>
      <c r="C16" s="1" t="s">
        <v>64</v>
      </c>
    </row>
    <row r="18" customFormat="false" ht="15" hidden="false" customHeight="true" outlineLevel="0" collapsed="false">
      <c r="A18" s="11" t="s">
        <v>133</v>
      </c>
    </row>
    <row r="19" customFormat="false" ht="15" hidden="false" customHeight="true" outlineLevel="0" collapsed="false">
      <c r="A19" s="11" t="s">
        <v>134</v>
      </c>
      <c r="B19" s="11" t="s">
        <v>135</v>
      </c>
      <c r="C19" s="11" t="s">
        <v>235</v>
      </c>
      <c r="D19" s="11" t="s">
        <v>138</v>
      </c>
      <c r="E19" s="11" t="s">
        <v>139</v>
      </c>
      <c r="F19" s="11" t="s">
        <v>140</v>
      </c>
      <c r="G19" s="11" t="s">
        <v>141</v>
      </c>
      <c r="H19" s="11" t="s">
        <v>142</v>
      </c>
      <c r="I19" s="11" t="s">
        <v>143</v>
      </c>
      <c r="J19" s="11" t="s">
        <v>144</v>
      </c>
    </row>
    <row r="20" customFormat="false" ht="15" hidden="false" customHeight="true" outlineLevel="0" collapsed="false">
      <c r="A20" s="1" t="n">
        <v>0</v>
      </c>
      <c r="F20" s="1" t="n">
        <f aca="false">-B7</f>
        <v>-116000</v>
      </c>
      <c r="G20" s="1" t="n">
        <f aca="false">F20</f>
        <v>-116000</v>
      </c>
      <c r="H20" s="1" t="n">
        <v>1</v>
      </c>
      <c r="I20" s="1" t="n">
        <f aca="false">G20*H20</f>
        <v>-116000</v>
      </c>
      <c r="J20" s="1" t="n">
        <f aca="false">I20</f>
        <v>-116000</v>
      </c>
    </row>
    <row r="21" customFormat="false" ht="15" hidden="false" customHeight="true" outlineLevel="0" collapsed="false">
      <c r="A21" s="1" t="n">
        <v>1</v>
      </c>
      <c r="B21" s="1" t="n">
        <f aca="false">MAX(0.7, 1-$B$11*A21)</f>
        <v>0.98</v>
      </c>
      <c r="C21" s="12" t="n">
        <f aca="false">$B$8*B21</f>
        <v>36673.56</v>
      </c>
      <c r="D21" s="38" t="n">
        <f aca="false">$B$14*$B$15</f>
        <v>1150</v>
      </c>
      <c r="E21" s="12" t="n">
        <f aca="false">-$B$9*$B$7</f>
        <v>-1740</v>
      </c>
      <c r="F21" s="12" t="n">
        <v>0</v>
      </c>
      <c r="G21" s="12" t="n">
        <f aca="false">C21+E21+F21</f>
        <v>34933.56</v>
      </c>
      <c r="H21" s="20" t="n">
        <f aca="false">1/(1+$B$10)^A21</f>
        <v>0.93870271285084</v>
      </c>
      <c r="I21" s="12" t="n">
        <f aca="false">G21*H21</f>
        <v>32792.2275415376</v>
      </c>
      <c r="J21" s="12" t="n">
        <f aca="false">J20+I21</f>
        <v>-83207.7724584624</v>
      </c>
    </row>
    <row r="22" customFormat="false" ht="15" hidden="false" customHeight="true" outlineLevel="0" collapsed="false">
      <c r="A22" s="1" t="n">
        <v>2</v>
      </c>
      <c r="B22" s="1" t="n">
        <f aca="false">MAX(0.7, 1-$B$11*A22)</f>
        <v>0.96</v>
      </c>
      <c r="C22" s="12" t="n">
        <f aca="false">$B$8*B22</f>
        <v>35925.12</v>
      </c>
      <c r="D22" s="38" t="n">
        <f aca="false">$B$14*$B$15</f>
        <v>1150</v>
      </c>
      <c r="E22" s="12" t="n">
        <f aca="false">-$B$9*$B$7</f>
        <v>-1740</v>
      </c>
      <c r="F22" s="12" t="n">
        <v>0</v>
      </c>
      <c r="G22" s="12" t="n">
        <f aca="false">C22+E22+F22</f>
        <v>34185.12</v>
      </c>
      <c r="H22" s="20" t="n">
        <f aca="false">1/(1+$B$10)^A22</f>
        <v>0.881162783113527</v>
      </c>
      <c r="I22" s="12" t="n">
        <f aca="false">G22*H22</f>
        <v>30122.6554802699</v>
      </c>
      <c r="J22" s="12" t="n">
        <f aca="false">J21+I22</f>
        <v>-53085.1169781925</v>
      </c>
    </row>
    <row r="23" customFormat="false" ht="15" hidden="false" customHeight="true" outlineLevel="0" collapsed="false">
      <c r="A23" s="1" t="n">
        <v>3</v>
      </c>
      <c r="B23" s="1" t="n">
        <f aca="false">MAX(0.7, 1-$B$11*A23)</f>
        <v>0.94</v>
      </c>
      <c r="C23" s="12" t="n">
        <f aca="false">$B$8*B23</f>
        <v>35176.68</v>
      </c>
      <c r="D23" s="38" t="n">
        <f aca="false">$B$14*$B$15</f>
        <v>1150</v>
      </c>
      <c r="E23" s="12" t="n">
        <f aca="false">-$B$9*$B$7</f>
        <v>-1740</v>
      </c>
      <c r="F23" s="12" t="n">
        <v>0</v>
      </c>
      <c r="G23" s="12" t="n">
        <f aca="false">C23+E23+F23</f>
        <v>33436.68</v>
      </c>
      <c r="H23" s="20" t="n">
        <f aca="false">1/(1+$B$10)^A23</f>
        <v>0.827149894971864</v>
      </c>
      <c r="I23" s="12" t="n">
        <f aca="false">G23*H23</f>
        <v>27657.1463502078</v>
      </c>
      <c r="J23" s="12" t="n">
        <f aca="false">J22+I23</f>
        <v>-25427.9706279847</v>
      </c>
    </row>
    <row r="24" customFormat="false" ht="15" hidden="false" customHeight="true" outlineLevel="0" collapsed="false">
      <c r="A24" s="1" t="n">
        <v>4</v>
      </c>
      <c r="B24" s="1" t="n">
        <f aca="false">MAX(0.7, 1-$B$11*A24)</f>
        <v>0.92</v>
      </c>
      <c r="C24" s="12" t="n">
        <f aca="false">$B$8*B24</f>
        <v>34428.24</v>
      </c>
      <c r="D24" s="38" t="n">
        <f aca="false">$B$14*$B$15</f>
        <v>1150</v>
      </c>
      <c r="E24" s="12" t="n">
        <f aca="false">-$B$9*$B$7</f>
        <v>-1740</v>
      </c>
      <c r="F24" s="12" t="n">
        <v>0</v>
      </c>
      <c r="G24" s="12" t="n">
        <f aca="false">C24+E24+F24</f>
        <v>32688.24</v>
      </c>
      <c r="H24" s="20" t="n">
        <f aca="false">1/(1+$B$10)^A24</f>
        <v>0.776447850344377</v>
      </c>
      <c r="I24" s="12" t="n">
        <f aca="false">G24*H24</f>
        <v>25380.7136795411</v>
      </c>
      <c r="J24" s="12" t="n">
        <f aca="false">J23+I24</f>
        <v>-47.2569484436099</v>
      </c>
    </row>
    <row r="25" customFormat="false" ht="15" hidden="false" customHeight="true" outlineLevel="0" collapsed="false">
      <c r="A25" s="1" t="n">
        <v>5</v>
      </c>
      <c r="B25" s="1" t="n">
        <f aca="false">MAX(0.7, 1-$B$11*A25)</f>
        <v>0.9</v>
      </c>
      <c r="C25" s="12" t="n">
        <f aca="false">$B$8*B25</f>
        <v>33679.8</v>
      </c>
      <c r="D25" s="38" t="n">
        <f aca="false">$B$14*$B$15</f>
        <v>1150</v>
      </c>
      <c r="E25" s="12" t="n">
        <f aca="false">-$B$9*$B$7</f>
        <v>-1740</v>
      </c>
      <c r="F25" s="12" t="n">
        <v>0</v>
      </c>
      <c r="G25" s="12" t="n">
        <f aca="false">C25+E25+F25</f>
        <v>31939.8</v>
      </c>
      <c r="H25" s="20" t="n">
        <f aca="false">1/(1+$B$10)^A25</f>
        <v>0.72885370350547</v>
      </c>
      <c r="I25" s="12" t="n">
        <f aca="false">G25*H25</f>
        <v>23279.441519224</v>
      </c>
      <c r="J25" s="12" t="n">
        <f aca="false">J24+I25</f>
        <v>23232.1845707804</v>
      </c>
    </row>
    <row r="26" customFormat="false" ht="15" hidden="false" customHeight="true" outlineLevel="0" collapsed="false">
      <c r="A26" s="1" t="n">
        <v>6</v>
      </c>
      <c r="B26" s="1" t="n">
        <f aca="false">MAX(0.7, 1-$B$11*A26)</f>
        <v>0.88</v>
      </c>
      <c r="C26" s="12" t="n">
        <f aca="false">$B$8*B26</f>
        <v>32931.36</v>
      </c>
      <c r="D26" s="38" t="n">
        <f aca="false">$B$14*$B$15</f>
        <v>1150</v>
      </c>
      <c r="E26" s="12" t="n">
        <f aca="false">-$B$9*$B$7</f>
        <v>-1740</v>
      </c>
      <c r="F26" s="12" t="n">
        <v>0</v>
      </c>
      <c r="G26" s="12" t="n">
        <f aca="false">C26+E26+F26</f>
        <v>31191.36</v>
      </c>
      <c r="H26" s="20" t="n">
        <f aca="false">1/(1+$B$10)^A26</f>
        <v>0.684176948751966</v>
      </c>
      <c r="I26" s="12" t="n">
        <f aca="false">G26*H26</f>
        <v>21340.4095122241</v>
      </c>
      <c r="J26" s="12" t="n">
        <f aca="false">J25+I26</f>
        <v>44572.5940830045</v>
      </c>
    </row>
    <row r="27" customFormat="false" ht="15" hidden="false" customHeight="true" outlineLevel="0" collapsed="false">
      <c r="A27" s="1" t="n">
        <v>7</v>
      </c>
      <c r="B27" s="1" t="n">
        <f aca="false">MAX(0.7, 1-$B$11*A27)</f>
        <v>0.86</v>
      </c>
      <c r="C27" s="12" t="n">
        <f aca="false">$B$8*B27</f>
        <v>32182.92</v>
      </c>
      <c r="D27" s="38" t="n">
        <f aca="false">$B$14*$B$15</f>
        <v>1150</v>
      </c>
      <c r="E27" s="12" t="n">
        <f aca="false">-$B$9*$B$7</f>
        <v>-1740</v>
      </c>
      <c r="F27" s="12" t="n">
        <v>0</v>
      </c>
      <c r="G27" s="12" t="n">
        <f aca="false">C27+E27+F27</f>
        <v>30442.92</v>
      </c>
      <c r="H27" s="20" t="n">
        <f aca="false">1/(1+$B$10)^A27</f>
        <v>0.642238757863481</v>
      </c>
      <c r="I27" s="12" t="n">
        <f aca="false">G27*H27</f>
        <v>19551.6231265373</v>
      </c>
      <c r="J27" s="12" t="n">
        <f aca="false">J26+I27</f>
        <v>64124.2172095418</v>
      </c>
    </row>
    <row r="28" customFormat="false" ht="15" hidden="false" customHeight="true" outlineLevel="0" collapsed="false">
      <c r="A28" s="1" t="n">
        <v>8</v>
      </c>
      <c r="B28" s="1" t="n">
        <f aca="false">MAX(0.7, 1-$B$11*A28)</f>
        <v>0.84</v>
      </c>
      <c r="C28" s="12" t="n">
        <f aca="false">$B$8*B28</f>
        <v>31434.48</v>
      </c>
      <c r="D28" s="38" t="n">
        <f aca="false">$B$14*$B$15</f>
        <v>1150</v>
      </c>
      <c r="E28" s="12" t="n">
        <f aca="false">-$B$9*$B$7</f>
        <v>-1740</v>
      </c>
      <c r="F28" s="12" t="n">
        <v>0</v>
      </c>
      <c r="G28" s="12" t="n">
        <f aca="false">C28+E28+F28</f>
        <v>29694.48</v>
      </c>
      <c r="H28" s="20" t="n">
        <f aca="false">1/(1+$B$10)^A28</f>
        <v>0.602871264304403</v>
      </c>
      <c r="I28" s="12" t="n">
        <f aca="false">G28*H28</f>
        <v>17901.9487004618</v>
      </c>
      <c r="J28" s="12" t="n">
        <f aca="false">J27+I28</f>
        <v>82026.1659100037</v>
      </c>
    </row>
    <row r="29" customFormat="false" ht="15" hidden="false" customHeight="true" outlineLevel="0" collapsed="false">
      <c r="A29" s="1" t="n">
        <v>9</v>
      </c>
      <c r="B29" s="1" t="n">
        <f aca="false">MAX(0.7, 1-$B$11*A29)</f>
        <v>0.82</v>
      </c>
      <c r="C29" s="12" t="n">
        <f aca="false">$B$8*B29</f>
        <v>30686.04</v>
      </c>
      <c r="D29" s="38" t="n">
        <f aca="false">$B$14*$B$15</f>
        <v>1150</v>
      </c>
      <c r="E29" s="12" t="n">
        <f aca="false">-$B$9*$B$7</f>
        <v>-1740</v>
      </c>
      <c r="F29" s="12" t="n">
        <v>0</v>
      </c>
      <c r="G29" s="12" t="n">
        <f aca="false">C29+E29+F29</f>
        <v>28946.04</v>
      </c>
      <c r="H29" s="20" t="n">
        <f aca="false">1/(1+$B$10)^A29</f>
        <v>0.565916891302359</v>
      </c>
      <c r="I29" s="12" t="n">
        <f aca="false">G29*H29</f>
        <v>16381.0529723138</v>
      </c>
      <c r="J29" s="12" t="n">
        <f aca="false">J28+I29</f>
        <v>98407.2188823174</v>
      </c>
    </row>
    <row r="30" customFormat="false" ht="15" hidden="false" customHeight="true" outlineLevel="0" collapsed="false">
      <c r="A30" s="1" t="n">
        <v>10</v>
      </c>
      <c r="B30" s="1" t="n">
        <f aca="false">MAX(0.7, 1-$B$11*A30)</f>
        <v>0.8</v>
      </c>
      <c r="C30" s="12" t="n">
        <f aca="false">$B$8*B30</f>
        <v>29937.6</v>
      </c>
      <c r="D30" s="38" t="n">
        <f aca="false">$B$14*$B$15</f>
        <v>1150</v>
      </c>
      <c r="E30" s="12" t="n">
        <f aca="false">-$B$9*$B$7</f>
        <v>-1740</v>
      </c>
      <c r="F30" s="12" t="n">
        <v>0</v>
      </c>
      <c r="G30" s="12" t="n">
        <f aca="false">C30+E30+F30</f>
        <v>28197.6</v>
      </c>
      <c r="H30" s="20" t="n">
        <f aca="false">1/(1+$B$10)^A30</f>
        <v>0.531227721113639</v>
      </c>
      <c r="I30" s="12" t="n">
        <f aca="false">G30*H30</f>
        <v>14979.3467888739</v>
      </c>
      <c r="J30" s="12" t="n">
        <f aca="false">J29+I30</f>
        <v>113386.565671191</v>
      </c>
    </row>
    <row r="31" customFormat="false" ht="15" hidden="false" customHeight="true" outlineLevel="0" collapsed="false">
      <c r="A31" s="1" t="n">
        <v>11</v>
      </c>
      <c r="B31" s="1" t="n">
        <f aca="false">MAX(0.7, 1-$B$11*A31)</f>
        <v>0.78</v>
      </c>
      <c r="C31" s="12" t="n">
        <f aca="false">$B$8*B31</f>
        <v>29189.16</v>
      </c>
      <c r="D31" s="38" t="n">
        <f aca="false">$B$14*$B$15</f>
        <v>1150</v>
      </c>
      <c r="E31" s="12" t="n">
        <f aca="false">-$B$9*$B$7</f>
        <v>-1740</v>
      </c>
      <c r="F31" s="12" t="n">
        <v>0</v>
      </c>
      <c r="G31" s="12" t="n">
        <f aca="false">C31+E31+F31</f>
        <v>27449.16</v>
      </c>
      <c r="H31" s="20" t="n">
        <f aca="false">1/(1+$B$10)^A31</f>
        <v>0.498664902950942</v>
      </c>
      <c r="I31" s="12" t="n">
        <f aca="false">G31*H31</f>
        <v>13687.9327074849</v>
      </c>
      <c r="J31" s="12" t="n">
        <f aca="false">J30+I31</f>
        <v>127074.498378676</v>
      </c>
    </row>
    <row r="32" customFormat="false" ht="15" hidden="false" customHeight="true" outlineLevel="0" collapsed="false">
      <c r="A32" s="1" t="n">
        <v>12</v>
      </c>
      <c r="B32" s="1" t="n">
        <f aca="false">MAX(0.7, 1-$B$11*A32)</f>
        <v>0.76</v>
      </c>
      <c r="C32" s="12" t="n">
        <f aca="false">$B$8*B32</f>
        <v>28440.72</v>
      </c>
      <c r="D32" s="38" t="n">
        <f aca="false">$B$14*$B$15</f>
        <v>1150</v>
      </c>
      <c r="E32" s="12" t="n">
        <f aca="false">-$B$9*$B$7</f>
        <v>-1740</v>
      </c>
      <c r="F32" s="12" t="n">
        <f aca="false">-$B$13*$B$5</f>
        <v>-39000</v>
      </c>
      <c r="G32" s="12" t="n">
        <f aca="false">C32+E32+F32</f>
        <v>-12299.28</v>
      </c>
      <c r="H32" s="20" t="n">
        <f aca="false">1/(1+$B$10)^A32</f>
        <v>0.468098097203551</v>
      </c>
      <c r="I32" s="12" t="n">
        <f aca="false">G32*H32</f>
        <v>-5757.26956497369</v>
      </c>
      <c r="J32" s="12" t="n">
        <f aca="false">J31+I32</f>
        <v>121317.228813703</v>
      </c>
    </row>
    <row r="33" customFormat="false" ht="15" hidden="false" customHeight="true" outlineLevel="0" collapsed="false">
      <c r="A33" s="1" t="n">
        <v>13</v>
      </c>
      <c r="B33" s="1" t="n">
        <f aca="false">MAX(0.7, 1-$B$11*(A33-$B$12))</f>
        <v>0.98</v>
      </c>
      <c r="C33" s="12" t="n">
        <f aca="false">$B$8*B33</f>
        <v>36673.56</v>
      </c>
      <c r="D33" s="38" t="n">
        <f aca="false">$B$14*$B$15</f>
        <v>1150</v>
      </c>
      <c r="E33" s="12" t="n">
        <f aca="false">-$B$9*$B$7</f>
        <v>-1740</v>
      </c>
      <c r="F33" s="12" t="n">
        <v>0</v>
      </c>
      <c r="G33" s="12" t="n">
        <f aca="false">C33+E33+F33</f>
        <v>34933.56</v>
      </c>
      <c r="H33" s="20" t="n">
        <f aca="false">1/(1+$B$10)^A33</f>
        <v>0.439404953725289</v>
      </c>
      <c r="I33" s="12" t="n">
        <f aca="false">G33*H33</f>
        <v>15349.9793152596</v>
      </c>
      <c r="J33" s="12" t="n">
        <f aca="false">J32+I33</f>
        <v>136667.208128962</v>
      </c>
    </row>
    <row r="34" customFormat="false" ht="15" hidden="false" customHeight="true" outlineLevel="0" collapsed="false">
      <c r="A34" s="1" t="n">
        <v>14</v>
      </c>
      <c r="B34" s="1" t="n">
        <f aca="false">MAX(0.7, 1-$B$11*(A34-$B$12))</f>
        <v>0.96</v>
      </c>
      <c r="C34" s="12" t="n">
        <f aca="false">$B$8*B34</f>
        <v>35925.12</v>
      </c>
      <c r="D34" s="38" t="n">
        <f aca="false">$B$14*$B$15</f>
        <v>1150</v>
      </c>
      <c r="E34" s="12" t="n">
        <f aca="false">-$B$9*$B$7</f>
        <v>-1740</v>
      </c>
      <c r="F34" s="12" t="n">
        <v>0</v>
      </c>
      <c r="G34" s="12" t="n">
        <f aca="false">C34+E34+F34</f>
        <v>34185.12</v>
      </c>
      <c r="H34" s="20" t="n">
        <f aca="false">1/(1+$B$10)^A34</f>
        <v>0.412470622102027</v>
      </c>
      <c r="I34" s="12" t="n">
        <f aca="false">G34*H34</f>
        <v>14100.3577130324</v>
      </c>
      <c r="J34" s="12" t="n">
        <f aca="false">J33+I34</f>
        <v>150767.565841995</v>
      </c>
    </row>
    <row r="35" customFormat="false" ht="15" hidden="false" customHeight="true" outlineLevel="0" collapsed="false">
      <c r="A35" s="1" t="n">
        <v>15</v>
      </c>
      <c r="B35" s="1" t="n">
        <f aca="false">MAX(0.7, 1-$B$11*(A35-$B$12))</f>
        <v>0.94</v>
      </c>
      <c r="C35" s="12" t="n">
        <f aca="false">$B$8*B35</f>
        <v>35176.68</v>
      </c>
      <c r="D35" s="38" t="n">
        <f aca="false">$B$14*$B$15</f>
        <v>1150</v>
      </c>
      <c r="E35" s="12" t="n">
        <f aca="false">-$B$9*$B$7</f>
        <v>-1740</v>
      </c>
      <c r="F35" s="12" t="n">
        <v>0</v>
      </c>
      <c r="G35" s="12" t="n">
        <f aca="false">C35+E35+F35</f>
        <v>33436.68</v>
      </c>
      <c r="H35" s="20" t="n">
        <f aca="false">1/(1+$B$10)^A35</f>
        <v>0.387187291938446</v>
      </c>
      <c r="I35" s="12" t="n">
        <f aca="false">G35*H35</f>
        <v>12946.2575806124</v>
      </c>
      <c r="J35" s="12" t="n">
        <f aca="false">J34+I35</f>
        <v>163713.823422607</v>
      </c>
    </row>
    <row r="36" customFormat="false" ht="15" hidden="false" customHeight="true" outlineLevel="0" collapsed="false">
      <c r="A36" s="1" t="n">
        <v>16</v>
      </c>
      <c r="B36" s="1" t="n">
        <f aca="false">MAX(0.7, 1-$B$11*(A36-$B$12))</f>
        <v>0.92</v>
      </c>
      <c r="C36" s="12" t="n">
        <f aca="false">$B$8*B36</f>
        <v>34428.24</v>
      </c>
      <c r="D36" s="38" t="n">
        <f aca="false">$B$14*$B$15</f>
        <v>1150</v>
      </c>
      <c r="E36" s="12" t="n">
        <f aca="false">-$B$9*$B$7</f>
        <v>-1740</v>
      </c>
      <c r="F36" s="12" t="n">
        <v>0</v>
      </c>
      <c r="G36" s="12" t="n">
        <f aca="false">C36+E36+F36</f>
        <v>32688.24</v>
      </c>
      <c r="H36" s="20" t="n">
        <f aca="false">1/(1+$B$10)^A36</f>
        <v>0.36345376132399</v>
      </c>
      <c r="I36" s="12" t="n">
        <f aca="false">G36*H36</f>
        <v>11880.6637790613</v>
      </c>
      <c r="J36" s="12" t="n">
        <f aca="false">J35+I36</f>
        <v>175594.487201668</v>
      </c>
    </row>
    <row r="37" customFormat="false" ht="15" hidden="false" customHeight="true" outlineLevel="0" collapsed="false">
      <c r="A37" s="1" t="n">
        <v>17</v>
      </c>
      <c r="B37" s="1" t="n">
        <f aca="false">MAX(0.7, 1-$B$11*(A37-$B$12))</f>
        <v>0.9</v>
      </c>
      <c r="C37" s="12" t="n">
        <f aca="false">$B$8*B37</f>
        <v>33679.8</v>
      </c>
      <c r="D37" s="38" t="n">
        <f aca="false">$B$14*$B$15</f>
        <v>1150</v>
      </c>
      <c r="E37" s="12" t="n">
        <f aca="false">-$B$9*$B$7</f>
        <v>-1740</v>
      </c>
      <c r="F37" s="12" t="n">
        <v>0</v>
      </c>
      <c r="G37" s="12" t="n">
        <f aca="false">C37+E37+F37</f>
        <v>31939.8</v>
      </c>
      <c r="H37" s="20" t="n">
        <f aca="false">1/(1+$B$10)^A37</f>
        <v>0.341175031750671</v>
      </c>
      <c r="I37" s="12" t="n">
        <f aca="false">G37*H37</f>
        <v>10897.0622791101</v>
      </c>
      <c r="J37" s="12" t="n">
        <f aca="false">J36+I37</f>
        <v>186491.549480778</v>
      </c>
    </row>
    <row r="38" customFormat="false" ht="15" hidden="false" customHeight="true" outlineLevel="0" collapsed="false">
      <c r="A38" s="1" t="n">
        <v>18</v>
      </c>
      <c r="B38" s="1" t="n">
        <f aca="false">MAX(0.7, 1-$B$11*(A38-$B$12))</f>
        <v>0.88</v>
      </c>
      <c r="C38" s="12" t="n">
        <f aca="false">$B$8*B38</f>
        <v>32931.36</v>
      </c>
      <c r="D38" s="38" t="n">
        <f aca="false">$B$14*$B$15</f>
        <v>1150</v>
      </c>
      <c r="E38" s="12" t="n">
        <f aca="false">-$B$9*$B$7</f>
        <v>-1740</v>
      </c>
      <c r="F38" s="12" t="n">
        <v>0</v>
      </c>
      <c r="G38" s="12" t="n">
        <f aca="false">C38+E38+F38</f>
        <v>31191.36</v>
      </c>
      <c r="H38" s="20" t="n">
        <f aca="false">1/(1+$B$10)^A38</f>
        <v>0.320261927861326</v>
      </c>
      <c r="I38" s="12" t="n">
        <f aca="false">G38*H38</f>
        <v>9989.40508621666</v>
      </c>
      <c r="J38" s="12" t="n">
        <f aca="false">J37+I38</f>
        <v>196480.954566995</v>
      </c>
    </row>
    <row r="39" customFormat="false" ht="15" hidden="false" customHeight="true" outlineLevel="0" collapsed="false">
      <c r="A39" s="1" t="n">
        <v>19</v>
      </c>
      <c r="B39" s="1" t="n">
        <f aca="false">MAX(0.7, 1-$B$11*(A39-$B$12))</f>
        <v>0.86</v>
      </c>
      <c r="C39" s="12" t="n">
        <f aca="false">$B$8*B39</f>
        <v>32182.92</v>
      </c>
      <c r="D39" s="38" t="n">
        <f aca="false">$B$14*$B$15</f>
        <v>1150</v>
      </c>
      <c r="E39" s="12" t="n">
        <f aca="false">-$B$9*$B$7</f>
        <v>-1740</v>
      </c>
      <c r="F39" s="12" t="n">
        <v>0</v>
      </c>
      <c r="G39" s="12" t="n">
        <f aca="false">C39+E39+F39</f>
        <v>30442.92</v>
      </c>
      <c r="H39" s="20" t="n">
        <f aca="false">1/(1+$B$10)^A39</f>
        <v>0.300630740506267</v>
      </c>
      <c r="I39" s="12" t="n">
        <f aca="false">G39*H39</f>
        <v>9152.07758277305</v>
      </c>
      <c r="J39" s="12" t="n">
        <f aca="false">J38+I39</f>
        <v>205633.032149768</v>
      </c>
    </row>
    <row r="40" customFormat="false" ht="15" hidden="false" customHeight="true" outlineLevel="0" collapsed="false">
      <c r="A40" s="1" t="n">
        <v>20</v>
      </c>
      <c r="B40" s="1" t="n">
        <f aca="false">MAX(0.7, 1-$B$11*(A40-$B$12))</f>
        <v>0.84</v>
      </c>
      <c r="C40" s="12" t="n">
        <f aca="false">$B$8*B40</f>
        <v>31434.48</v>
      </c>
      <c r="D40" s="38" t="n">
        <f aca="false">$B$14*$B$15</f>
        <v>1150</v>
      </c>
      <c r="E40" s="12" t="n">
        <f aca="false">-$B$9*$B$7</f>
        <v>-1740</v>
      </c>
      <c r="F40" s="12" t="n">
        <v>0</v>
      </c>
      <c r="G40" s="12" t="n">
        <f aca="false">C40+E40+F40</f>
        <v>29694.48</v>
      </c>
      <c r="H40" s="20" t="n">
        <f aca="false">1/(1+$B$10)^A40</f>
        <v>0.28220289167959</v>
      </c>
      <c r="I40" s="12" t="n">
        <f aca="false">G40*H40</f>
        <v>8379.86812292175</v>
      </c>
      <c r="J40" s="12" t="n">
        <f aca="false">J39+I40</f>
        <v>214012.90027269</v>
      </c>
    </row>
    <row r="42" customFormat="false" ht="15" hidden="false" customHeight="true" outlineLevel="0" collapsed="false">
      <c r="A42" s="11" t="s">
        <v>236</v>
      </c>
      <c r="B42" s="12" t="n">
        <f aca="false">J40</f>
        <v>214012.90027269</v>
      </c>
      <c r="C42" s="1" t="s">
        <v>64</v>
      </c>
    </row>
    <row r="43" customFormat="false" ht="15" hidden="false" customHeight="true" outlineLevel="0" collapsed="false">
      <c r="A43" s="1" t="s">
        <v>237</v>
      </c>
      <c r="B43" s="12" t="n">
        <f aca="false">B42+B16</f>
        <v>235107.652822576</v>
      </c>
      <c r="C43" s="1" t="s">
        <v>64</v>
      </c>
    </row>
    <row r="44" customFormat="false" ht="15" hidden="false" customHeight="true" outlineLevel="0" collapsed="false">
      <c r="A44" s="1" t="s">
        <v>238</v>
      </c>
      <c r="B44" s="12" t="n">
        <f aca="false">B43+B14*B15*(1-1/(1+B10)^20)/B10</f>
        <v>247748.796384115</v>
      </c>
      <c r="C44" s="1" t="s">
        <v>64</v>
      </c>
    </row>
    <row r="45" customFormat="false" ht="15" hidden="false" customHeight="true" outlineLevel="0" collapsed="false">
      <c r="A45" s="1" t="s">
        <v>164</v>
      </c>
      <c r="B45" s="23" t="n">
        <f aca="false">B7/(B8-B9*B7)</f>
        <v>3.25093884871924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5" min="2" style="1" width="16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10" min="8" style="1" width="14"/>
    <col collapsed="false" customWidth="true" hidden="false" outlineLevel="0" max="11" min="11" style="1" width="16"/>
  </cols>
  <sheetData>
    <row r="1" customFormat="false" ht="15" hidden="false" customHeight="true" outlineLevel="0" collapsed="false">
      <c r="A1" s="24" t="s">
        <v>239</v>
      </c>
    </row>
    <row r="2" customFormat="false" ht="15" hidden="false" customHeight="true" outlineLevel="0" collapsed="false">
      <c r="A2" s="34" t="s">
        <v>240</v>
      </c>
    </row>
    <row r="4" customFormat="false" ht="15" hidden="false" customHeight="true" outlineLevel="0" collapsed="false">
      <c r="A4" s="11"/>
      <c r="B4" s="11" t="s">
        <v>3</v>
      </c>
      <c r="C4" s="11" t="s">
        <v>4</v>
      </c>
      <c r="D4" s="11" t="s">
        <v>5</v>
      </c>
    </row>
    <row r="5" customFormat="false" ht="15" hidden="false" customHeight="true" outlineLevel="0" collapsed="false">
      <c r="A5" s="1" t="s">
        <v>113</v>
      </c>
      <c r="B5" s="6" t="n">
        <v>200</v>
      </c>
      <c r="C5" s="1" t="s">
        <v>13</v>
      </c>
    </row>
    <row r="6" customFormat="false" ht="15" hidden="false" customHeight="true" outlineLevel="0" collapsed="false">
      <c r="A6" s="1" t="s">
        <v>114</v>
      </c>
      <c r="B6" s="6" t="n">
        <v>580</v>
      </c>
      <c r="C6" s="1" t="s">
        <v>18</v>
      </c>
      <c r="D6" s="1" t="s">
        <v>115</v>
      </c>
    </row>
    <row r="7" customFormat="false" ht="15" hidden="false" customHeight="true" outlineLevel="0" collapsed="false">
      <c r="A7" s="1" t="s">
        <v>116</v>
      </c>
      <c r="B7" s="1" t="n">
        <f aca="false">B5*B6</f>
        <v>116000</v>
      </c>
      <c r="C7" s="1" t="s">
        <v>64</v>
      </c>
    </row>
    <row r="8" customFormat="false" ht="15" hidden="false" customHeight="true" outlineLevel="0" collapsed="false">
      <c r="A8" s="1" t="s">
        <v>230</v>
      </c>
      <c r="B8" s="35" t="n">
        <v>13303</v>
      </c>
      <c r="C8" s="1" t="s">
        <v>80</v>
      </c>
      <c r="D8" s="1" t="s">
        <v>241</v>
      </c>
    </row>
    <row r="9" customFormat="false" ht="15" hidden="false" customHeight="true" outlineLevel="0" collapsed="false">
      <c r="A9" s="1" t="s">
        <v>119</v>
      </c>
      <c r="B9" s="36" t="n">
        <v>0.015</v>
      </c>
      <c r="C9" s="1" t="s">
        <v>120</v>
      </c>
      <c r="D9" s="1" t="s">
        <v>36</v>
      </c>
    </row>
    <row r="10" customFormat="false" ht="15" hidden="false" customHeight="true" outlineLevel="0" collapsed="false">
      <c r="A10" s="1" t="s">
        <v>122</v>
      </c>
      <c r="B10" s="37" t="n">
        <v>0.0653</v>
      </c>
      <c r="D10" s="1" t="s">
        <v>123</v>
      </c>
    </row>
    <row r="11" customFormat="false" ht="15" hidden="false" customHeight="true" outlineLevel="0" collapsed="false">
      <c r="A11" s="1" t="s">
        <v>124</v>
      </c>
      <c r="B11" s="6" t="n">
        <v>0.02</v>
      </c>
      <c r="C11" s="1" t="s">
        <v>125</v>
      </c>
      <c r="D11" s="1" t="s">
        <v>232</v>
      </c>
    </row>
    <row r="12" customFormat="false" ht="15" hidden="false" customHeight="true" outlineLevel="0" collapsed="false">
      <c r="A12" s="1" t="s">
        <v>127</v>
      </c>
      <c r="B12" s="6" t="n">
        <v>12</v>
      </c>
    </row>
    <row r="13" customFormat="false" ht="15" hidden="false" customHeight="true" outlineLevel="0" collapsed="false">
      <c r="A13" s="1" t="s">
        <v>233</v>
      </c>
      <c r="B13" s="6" t="n">
        <v>195</v>
      </c>
      <c r="C13" s="1" t="s">
        <v>18</v>
      </c>
      <c r="D13" s="1" t="s">
        <v>234</v>
      </c>
    </row>
    <row r="14" customFormat="false" ht="15" hidden="false" customHeight="true" outlineLevel="0" collapsed="false">
      <c r="A14" s="1" t="s">
        <v>130</v>
      </c>
      <c r="B14" s="6" t="n">
        <v>50</v>
      </c>
      <c r="C14" s="1" t="s">
        <v>8</v>
      </c>
      <c r="D14" s="1" t="s">
        <v>131</v>
      </c>
    </row>
    <row r="15" customFormat="false" ht="15" hidden="false" customHeight="true" outlineLevel="0" collapsed="false">
      <c r="A15" s="1" t="s">
        <v>132</v>
      </c>
      <c r="B15" s="6" t="n">
        <v>23</v>
      </c>
      <c r="C15" s="1" t="s">
        <v>60</v>
      </c>
      <c r="D15" s="1" t="s">
        <v>61</v>
      </c>
    </row>
    <row r="16" customFormat="false" ht="15" hidden="false" customHeight="true" outlineLevel="0" collapsed="false">
      <c r="A16" s="1" t="s">
        <v>77</v>
      </c>
      <c r="B16" s="12" t="n">
        <f aca="false">45000*(1-1/(1+B10)^10)</f>
        <v>21094.7525498863</v>
      </c>
      <c r="C16" s="1" t="s">
        <v>64</v>
      </c>
    </row>
    <row r="18" customFormat="false" ht="15" hidden="false" customHeight="true" outlineLevel="0" collapsed="false">
      <c r="A18" s="11" t="s">
        <v>133</v>
      </c>
    </row>
    <row r="19" customFormat="false" ht="15" hidden="false" customHeight="true" outlineLevel="0" collapsed="false">
      <c r="A19" s="11" t="s">
        <v>134</v>
      </c>
      <c r="B19" s="11" t="s">
        <v>135</v>
      </c>
      <c r="C19" s="11" t="s">
        <v>235</v>
      </c>
      <c r="D19" s="11" t="s">
        <v>138</v>
      </c>
      <c r="E19" s="11" t="s">
        <v>139</v>
      </c>
      <c r="F19" s="11" t="s">
        <v>140</v>
      </c>
      <c r="G19" s="11" t="s">
        <v>141</v>
      </c>
      <c r="H19" s="11" t="s">
        <v>142</v>
      </c>
      <c r="I19" s="11" t="s">
        <v>143</v>
      </c>
      <c r="J19" s="11" t="s">
        <v>144</v>
      </c>
    </row>
    <row r="20" customFormat="false" ht="15" hidden="false" customHeight="true" outlineLevel="0" collapsed="false">
      <c r="A20" s="1" t="n">
        <v>0</v>
      </c>
      <c r="F20" s="1" t="n">
        <f aca="false">-B7</f>
        <v>-116000</v>
      </c>
      <c r="G20" s="1" t="n">
        <f aca="false">F20</f>
        <v>-116000</v>
      </c>
      <c r="H20" s="1" t="n">
        <v>1</v>
      </c>
      <c r="I20" s="1" t="n">
        <f aca="false">G20*H20</f>
        <v>-116000</v>
      </c>
      <c r="J20" s="1" t="n">
        <f aca="false">I20</f>
        <v>-116000</v>
      </c>
    </row>
    <row r="21" customFormat="false" ht="15" hidden="false" customHeight="true" outlineLevel="0" collapsed="false">
      <c r="A21" s="1" t="n">
        <v>1</v>
      </c>
      <c r="B21" s="1" t="n">
        <f aca="false">MAX(0.7, 1-$B$11*A21)</f>
        <v>0.98</v>
      </c>
      <c r="C21" s="12" t="n">
        <f aca="false">$B$8*B21</f>
        <v>13036.94</v>
      </c>
      <c r="D21" s="38" t="n">
        <f aca="false">$B$14*$B$15</f>
        <v>1150</v>
      </c>
      <c r="E21" s="12" t="n">
        <f aca="false">-$B$9*$B$7</f>
        <v>-1740</v>
      </c>
      <c r="F21" s="12" t="n">
        <v>0</v>
      </c>
      <c r="G21" s="12" t="n">
        <f aca="false">C21+E21+F21</f>
        <v>11296.94</v>
      </c>
      <c r="H21" s="20" t="n">
        <f aca="false">1/(1+$B$10)^A21</f>
        <v>0.93870271285084</v>
      </c>
      <c r="I21" s="12" t="n">
        <f aca="false">G21*H21</f>
        <v>10604.4682249132</v>
      </c>
      <c r="J21" s="12" t="n">
        <f aca="false">J20+I21</f>
        <v>-105395.531775087</v>
      </c>
    </row>
    <row r="22" customFormat="false" ht="15" hidden="false" customHeight="true" outlineLevel="0" collapsed="false">
      <c r="A22" s="1" t="n">
        <v>2</v>
      </c>
      <c r="B22" s="1" t="n">
        <f aca="false">MAX(0.7, 1-$B$11*A22)</f>
        <v>0.96</v>
      </c>
      <c r="C22" s="12" t="n">
        <f aca="false">$B$8*B22</f>
        <v>12770.88</v>
      </c>
      <c r="D22" s="38" t="n">
        <f aca="false">$B$14*$B$15</f>
        <v>1150</v>
      </c>
      <c r="E22" s="12" t="n">
        <f aca="false">-$B$9*$B$7</f>
        <v>-1740</v>
      </c>
      <c r="F22" s="12" t="n">
        <v>0</v>
      </c>
      <c r="G22" s="12" t="n">
        <f aca="false">C22+E22+F22</f>
        <v>11030.88</v>
      </c>
      <c r="H22" s="20" t="n">
        <f aca="false">1/(1+$B$10)^A22</f>
        <v>0.881162783113527</v>
      </c>
      <c r="I22" s="12" t="n">
        <f aca="false">G22*H22</f>
        <v>9720.00092099134</v>
      </c>
      <c r="J22" s="12" t="n">
        <f aca="false">J21+I22</f>
        <v>-95675.5308540955</v>
      </c>
    </row>
    <row r="23" customFormat="false" ht="15" hidden="false" customHeight="true" outlineLevel="0" collapsed="false">
      <c r="A23" s="1" t="n">
        <v>3</v>
      </c>
      <c r="B23" s="1" t="n">
        <f aca="false">MAX(0.7, 1-$B$11*A23)</f>
        <v>0.94</v>
      </c>
      <c r="C23" s="12" t="n">
        <f aca="false">$B$8*B23</f>
        <v>12504.82</v>
      </c>
      <c r="D23" s="38" t="n">
        <f aca="false">$B$14*$B$15</f>
        <v>1150</v>
      </c>
      <c r="E23" s="12" t="n">
        <f aca="false">-$B$9*$B$7</f>
        <v>-1740</v>
      </c>
      <c r="F23" s="12" t="n">
        <v>0</v>
      </c>
      <c r="G23" s="12" t="n">
        <f aca="false">C23+E23+F23</f>
        <v>10764.82</v>
      </c>
      <c r="H23" s="20" t="n">
        <f aca="false">1/(1+$B$10)^A23</f>
        <v>0.827149894971864</v>
      </c>
      <c r="I23" s="12" t="n">
        <f aca="false">G23*H23</f>
        <v>8904.11973239102</v>
      </c>
      <c r="J23" s="12" t="n">
        <f aca="false">J22+I23</f>
        <v>-86771.4111217045</v>
      </c>
    </row>
    <row r="24" customFormat="false" ht="15" hidden="false" customHeight="true" outlineLevel="0" collapsed="false">
      <c r="A24" s="1" t="n">
        <v>4</v>
      </c>
      <c r="B24" s="1" t="n">
        <f aca="false">MAX(0.7, 1-$B$11*A24)</f>
        <v>0.92</v>
      </c>
      <c r="C24" s="12" t="n">
        <f aca="false">$B$8*B24</f>
        <v>12238.76</v>
      </c>
      <c r="D24" s="38" t="n">
        <f aca="false">$B$14*$B$15</f>
        <v>1150</v>
      </c>
      <c r="E24" s="12" t="n">
        <f aca="false">-$B$9*$B$7</f>
        <v>-1740</v>
      </c>
      <c r="F24" s="12" t="n">
        <v>0</v>
      </c>
      <c r="G24" s="12" t="n">
        <f aca="false">C24+E24+F24</f>
        <v>10498.76</v>
      </c>
      <c r="H24" s="20" t="n">
        <f aca="false">1/(1+$B$10)^A24</f>
        <v>0.776447850344377</v>
      </c>
      <c r="I24" s="12" t="n">
        <f aca="false">G24*H24</f>
        <v>8151.73963328153</v>
      </c>
      <c r="J24" s="12" t="n">
        <f aca="false">J23+I24</f>
        <v>-78619.6714884229</v>
      </c>
    </row>
    <row r="25" customFormat="false" ht="15" hidden="false" customHeight="true" outlineLevel="0" collapsed="false">
      <c r="A25" s="1" t="n">
        <v>5</v>
      </c>
      <c r="B25" s="1" t="n">
        <f aca="false">MAX(0.7, 1-$B$11*A25)</f>
        <v>0.9</v>
      </c>
      <c r="C25" s="12" t="n">
        <f aca="false">$B$8*B25</f>
        <v>11972.7</v>
      </c>
      <c r="D25" s="38" t="n">
        <f aca="false">$B$14*$B$15</f>
        <v>1150</v>
      </c>
      <c r="E25" s="12" t="n">
        <f aca="false">-$B$9*$B$7</f>
        <v>-1740</v>
      </c>
      <c r="F25" s="12" t="n">
        <v>0</v>
      </c>
      <c r="G25" s="12" t="n">
        <f aca="false">C25+E25+F25</f>
        <v>10232.7</v>
      </c>
      <c r="H25" s="20" t="n">
        <f aca="false">1/(1+$B$10)^A25</f>
        <v>0.72885370350547</v>
      </c>
      <c r="I25" s="12" t="n">
        <f aca="false">G25*H25</f>
        <v>7458.14129186042</v>
      </c>
      <c r="J25" s="12" t="n">
        <f aca="false">J24+I25</f>
        <v>-71161.5301965625</v>
      </c>
    </row>
    <row r="26" customFormat="false" ht="15" hidden="false" customHeight="true" outlineLevel="0" collapsed="false">
      <c r="A26" s="1" t="n">
        <v>6</v>
      </c>
      <c r="B26" s="1" t="n">
        <f aca="false">MAX(0.7, 1-$B$11*A26)</f>
        <v>0.88</v>
      </c>
      <c r="C26" s="12" t="n">
        <f aca="false">$B$8*B26</f>
        <v>11706.64</v>
      </c>
      <c r="D26" s="38" t="n">
        <f aca="false">$B$14*$B$15</f>
        <v>1150</v>
      </c>
      <c r="E26" s="12" t="n">
        <f aca="false">-$B$9*$B$7</f>
        <v>-1740</v>
      </c>
      <c r="F26" s="12" t="n">
        <v>0</v>
      </c>
      <c r="G26" s="12" t="n">
        <f aca="false">C26+E26+F26</f>
        <v>9966.64</v>
      </c>
      <c r="H26" s="20" t="n">
        <f aca="false">1/(1+$B$10)^A26</f>
        <v>0.684176948751966</v>
      </c>
      <c r="I26" s="12" t="n">
        <f aca="false">G26*H26</f>
        <v>6818.9453445093</v>
      </c>
      <c r="J26" s="12" t="n">
        <f aca="false">J25+I26</f>
        <v>-64342.5848520532</v>
      </c>
    </row>
    <row r="27" customFormat="false" ht="15" hidden="false" customHeight="true" outlineLevel="0" collapsed="false">
      <c r="A27" s="1" t="n">
        <v>7</v>
      </c>
      <c r="B27" s="1" t="n">
        <f aca="false">MAX(0.7, 1-$B$11*A27)</f>
        <v>0.86</v>
      </c>
      <c r="C27" s="12" t="n">
        <f aca="false">$B$8*B27</f>
        <v>11440.58</v>
      </c>
      <c r="D27" s="38" t="n">
        <f aca="false">$B$14*$B$15</f>
        <v>1150</v>
      </c>
      <c r="E27" s="12" t="n">
        <f aca="false">-$B$9*$B$7</f>
        <v>-1740</v>
      </c>
      <c r="F27" s="12" t="n">
        <v>0</v>
      </c>
      <c r="G27" s="12" t="n">
        <f aca="false">C27+E27+F27</f>
        <v>9700.58</v>
      </c>
      <c r="H27" s="20" t="n">
        <f aca="false">1/(1+$B$10)^A27</f>
        <v>0.642238757863481</v>
      </c>
      <c r="I27" s="12" t="n">
        <f aca="false">G27*H27</f>
        <v>6230.08844975533</v>
      </c>
      <c r="J27" s="12" t="n">
        <f aca="false">J26+I27</f>
        <v>-58112.4964022979</v>
      </c>
    </row>
    <row r="28" customFormat="false" ht="15" hidden="false" customHeight="true" outlineLevel="0" collapsed="false">
      <c r="A28" s="1" t="n">
        <v>8</v>
      </c>
      <c r="B28" s="1" t="n">
        <f aca="false">MAX(0.7, 1-$B$11*A28)</f>
        <v>0.84</v>
      </c>
      <c r="C28" s="12" t="n">
        <f aca="false">$B$8*B28</f>
        <v>11174.52</v>
      </c>
      <c r="D28" s="38" t="n">
        <f aca="false">$B$14*$B$15</f>
        <v>1150</v>
      </c>
      <c r="E28" s="12" t="n">
        <f aca="false">-$B$9*$B$7</f>
        <v>-1740</v>
      </c>
      <c r="F28" s="12" t="n">
        <v>0</v>
      </c>
      <c r="G28" s="12" t="n">
        <f aca="false">C28+E28+F28</f>
        <v>9434.52</v>
      </c>
      <c r="H28" s="20" t="n">
        <f aca="false">1/(1+$B$10)^A28</f>
        <v>0.602871264304403</v>
      </c>
      <c r="I28" s="12" t="n">
        <f aca="false">G28*H28</f>
        <v>5687.80100050518</v>
      </c>
      <c r="J28" s="12" t="n">
        <f aca="false">J27+I28</f>
        <v>-52424.6954017927</v>
      </c>
    </row>
    <row r="29" customFormat="false" ht="15" hidden="false" customHeight="true" outlineLevel="0" collapsed="false">
      <c r="A29" s="1" t="n">
        <v>9</v>
      </c>
      <c r="B29" s="1" t="n">
        <f aca="false">MAX(0.7, 1-$B$11*A29)</f>
        <v>0.82</v>
      </c>
      <c r="C29" s="12" t="n">
        <f aca="false">$B$8*B29</f>
        <v>10908.46</v>
      </c>
      <c r="D29" s="38" t="n">
        <f aca="false">$B$14*$B$15</f>
        <v>1150</v>
      </c>
      <c r="E29" s="12" t="n">
        <f aca="false">-$B$9*$B$7</f>
        <v>-1740</v>
      </c>
      <c r="F29" s="12" t="n">
        <v>0</v>
      </c>
      <c r="G29" s="12" t="n">
        <f aca="false">C29+E29+F29</f>
        <v>9168.46</v>
      </c>
      <c r="H29" s="20" t="n">
        <f aca="false">1/(1+$B$10)^A29</f>
        <v>0.565916891302359</v>
      </c>
      <c r="I29" s="12" t="n">
        <f aca="false">G29*H29</f>
        <v>5188.58638123003</v>
      </c>
      <c r="J29" s="12" t="n">
        <f aca="false">J28+I29</f>
        <v>-47236.1090205627</v>
      </c>
    </row>
    <row r="30" customFormat="false" ht="15" hidden="false" customHeight="true" outlineLevel="0" collapsed="false">
      <c r="A30" s="1" t="n">
        <v>10</v>
      </c>
      <c r="B30" s="1" t="n">
        <f aca="false">MAX(0.7, 1-$B$11*A30)</f>
        <v>0.8</v>
      </c>
      <c r="C30" s="12" t="n">
        <f aca="false">$B$8*B30</f>
        <v>10642.4</v>
      </c>
      <c r="D30" s="38" t="n">
        <f aca="false">$B$14*$B$15</f>
        <v>1150</v>
      </c>
      <c r="E30" s="12" t="n">
        <f aca="false">-$B$9*$B$7</f>
        <v>-1740</v>
      </c>
      <c r="F30" s="12" t="n">
        <v>0</v>
      </c>
      <c r="G30" s="12" t="n">
        <f aca="false">C30+E30+F30</f>
        <v>8902.4</v>
      </c>
      <c r="H30" s="20" t="n">
        <f aca="false">1/(1+$B$10)^A30</f>
        <v>0.531227721113639</v>
      </c>
      <c r="I30" s="12" t="n">
        <f aca="false">G30*H30</f>
        <v>4729.20166444206</v>
      </c>
      <c r="J30" s="12" t="n">
        <f aca="false">J29+I30</f>
        <v>-42506.9073561206</v>
      </c>
    </row>
    <row r="31" customFormat="false" ht="15" hidden="false" customHeight="true" outlineLevel="0" collapsed="false">
      <c r="A31" s="1" t="n">
        <v>11</v>
      </c>
      <c r="B31" s="1" t="n">
        <f aca="false">MAX(0.7, 1-$B$11*A31)</f>
        <v>0.78</v>
      </c>
      <c r="C31" s="12" t="n">
        <f aca="false">$B$8*B31</f>
        <v>10376.34</v>
      </c>
      <c r="D31" s="38" t="n">
        <f aca="false">$B$14*$B$15</f>
        <v>1150</v>
      </c>
      <c r="E31" s="12" t="n">
        <f aca="false">-$B$9*$B$7</f>
        <v>-1740</v>
      </c>
      <c r="F31" s="12" t="n">
        <v>0</v>
      </c>
      <c r="G31" s="12" t="n">
        <f aca="false">C31+E31+F31</f>
        <v>8636.34</v>
      </c>
      <c r="H31" s="20" t="n">
        <f aca="false">1/(1+$B$10)^A31</f>
        <v>0.498664902950942</v>
      </c>
      <c r="I31" s="12" t="n">
        <f aca="false">G31*H31</f>
        <v>4306.63964795134</v>
      </c>
      <c r="J31" s="12" t="n">
        <f aca="false">J30+I31</f>
        <v>-38200.2677081693</v>
      </c>
    </row>
    <row r="32" customFormat="false" ht="15" hidden="false" customHeight="true" outlineLevel="0" collapsed="false">
      <c r="A32" s="1" t="n">
        <v>12</v>
      </c>
      <c r="B32" s="1" t="n">
        <f aca="false">MAX(0.7, 1-$B$11*A32)</f>
        <v>0.76</v>
      </c>
      <c r="C32" s="12" t="n">
        <f aca="false">$B$8*B32</f>
        <v>10110.28</v>
      </c>
      <c r="D32" s="38" t="n">
        <f aca="false">$B$14*$B$15</f>
        <v>1150</v>
      </c>
      <c r="E32" s="12" t="n">
        <f aca="false">-$B$9*$B$7</f>
        <v>-1740</v>
      </c>
      <c r="F32" s="12" t="n">
        <f aca="false">-$B$13*$B$5</f>
        <v>-39000</v>
      </c>
      <c r="G32" s="12" t="n">
        <f aca="false">C32+E32+F32</f>
        <v>-30629.72</v>
      </c>
      <c r="H32" s="20" t="n">
        <f aca="false">1/(1+$B$10)^A32</f>
        <v>0.468098097203551</v>
      </c>
      <c r="I32" s="12" t="n">
        <f aca="false">G32*H32</f>
        <v>-14337.7136498775</v>
      </c>
      <c r="J32" s="12" t="n">
        <f aca="false">J31+I32</f>
        <v>-52537.9813580468</v>
      </c>
    </row>
    <row r="33" customFormat="false" ht="15" hidden="false" customHeight="true" outlineLevel="0" collapsed="false">
      <c r="A33" s="1" t="n">
        <v>13</v>
      </c>
      <c r="B33" s="1" t="n">
        <f aca="false">MAX(0.7, 1-$B$11*(A33-$B$12))</f>
        <v>0.98</v>
      </c>
      <c r="C33" s="12" t="n">
        <f aca="false">$B$8*B33</f>
        <v>13036.94</v>
      </c>
      <c r="D33" s="38" t="n">
        <f aca="false">$B$14*$B$15</f>
        <v>1150</v>
      </c>
      <c r="E33" s="12" t="n">
        <f aca="false">-$B$9*$B$7</f>
        <v>-1740</v>
      </c>
      <c r="F33" s="12" t="n">
        <v>0</v>
      </c>
      <c r="G33" s="12" t="n">
        <f aca="false">C33+E33+F33</f>
        <v>11296.94</v>
      </c>
      <c r="H33" s="20" t="n">
        <f aca="false">1/(1+$B$10)^A33</f>
        <v>0.439404953725289</v>
      </c>
      <c r="I33" s="12" t="n">
        <f aca="false">G33*H33</f>
        <v>4963.93139793737</v>
      </c>
      <c r="J33" s="12" t="n">
        <f aca="false">J32+I33</f>
        <v>-47574.0499601095</v>
      </c>
    </row>
    <row r="34" customFormat="false" ht="15" hidden="false" customHeight="true" outlineLevel="0" collapsed="false">
      <c r="A34" s="1" t="n">
        <v>14</v>
      </c>
      <c r="B34" s="1" t="n">
        <f aca="false">MAX(0.7, 1-$B$11*(A34-$B$12))</f>
        <v>0.96</v>
      </c>
      <c r="C34" s="12" t="n">
        <f aca="false">$B$8*B34</f>
        <v>12770.88</v>
      </c>
      <c r="D34" s="38" t="n">
        <f aca="false">$B$14*$B$15</f>
        <v>1150</v>
      </c>
      <c r="E34" s="12" t="n">
        <f aca="false">-$B$9*$B$7</f>
        <v>-1740</v>
      </c>
      <c r="F34" s="12" t="n">
        <v>0</v>
      </c>
      <c r="G34" s="12" t="n">
        <f aca="false">C34+E34+F34</f>
        <v>11030.88</v>
      </c>
      <c r="H34" s="20" t="n">
        <f aca="false">1/(1+$B$10)^A34</f>
        <v>0.412470622102027</v>
      </c>
      <c r="I34" s="12" t="n">
        <f aca="false">G34*H34</f>
        <v>4549.91393593281</v>
      </c>
      <c r="J34" s="12" t="n">
        <f aca="false">J33+I34</f>
        <v>-43024.1360241767</v>
      </c>
    </row>
    <row r="35" customFormat="false" ht="15" hidden="false" customHeight="true" outlineLevel="0" collapsed="false">
      <c r="A35" s="1" t="n">
        <v>15</v>
      </c>
      <c r="B35" s="1" t="n">
        <f aca="false">MAX(0.7, 1-$B$11*(A35-$B$12))</f>
        <v>0.94</v>
      </c>
      <c r="C35" s="12" t="n">
        <f aca="false">$B$8*B35</f>
        <v>12504.82</v>
      </c>
      <c r="D35" s="38" t="n">
        <f aca="false">$B$14*$B$15</f>
        <v>1150</v>
      </c>
      <c r="E35" s="12" t="n">
        <f aca="false">-$B$9*$B$7</f>
        <v>-1740</v>
      </c>
      <c r="F35" s="12" t="n">
        <v>0</v>
      </c>
      <c r="G35" s="12" t="n">
        <f aca="false">C35+E35+F35</f>
        <v>10764.82</v>
      </c>
      <c r="H35" s="20" t="n">
        <f aca="false">1/(1+$B$10)^A35</f>
        <v>0.387187291938446</v>
      </c>
      <c r="I35" s="12" t="n">
        <f aca="false">G35*H35</f>
        <v>4168.00150400483</v>
      </c>
      <c r="J35" s="12" t="n">
        <f aca="false">J34+I35</f>
        <v>-38856.1345201718</v>
      </c>
    </row>
    <row r="36" customFormat="false" ht="15" hidden="false" customHeight="true" outlineLevel="0" collapsed="false">
      <c r="A36" s="1" t="n">
        <v>16</v>
      </c>
      <c r="B36" s="1" t="n">
        <f aca="false">MAX(0.7, 1-$B$11*(A36-$B$12))</f>
        <v>0.92</v>
      </c>
      <c r="C36" s="12" t="n">
        <f aca="false">$B$8*B36</f>
        <v>12238.76</v>
      </c>
      <c r="D36" s="38" t="n">
        <f aca="false">$B$14*$B$15</f>
        <v>1150</v>
      </c>
      <c r="E36" s="12" t="n">
        <f aca="false">-$B$9*$B$7</f>
        <v>-1740</v>
      </c>
      <c r="F36" s="12" t="n">
        <v>0</v>
      </c>
      <c r="G36" s="12" t="n">
        <f aca="false">C36+E36+F36</f>
        <v>10498.76</v>
      </c>
      <c r="H36" s="20" t="n">
        <f aca="false">1/(1+$B$10)^A36</f>
        <v>0.36345376132399</v>
      </c>
      <c r="I36" s="12" t="n">
        <f aca="false">G36*H36</f>
        <v>3815.81381123785</v>
      </c>
      <c r="J36" s="12" t="n">
        <f aca="false">J35+I36</f>
        <v>-35040.320708934</v>
      </c>
    </row>
    <row r="37" customFormat="false" ht="15" hidden="false" customHeight="true" outlineLevel="0" collapsed="false">
      <c r="A37" s="1" t="n">
        <v>17</v>
      </c>
      <c r="B37" s="1" t="n">
        <f aca="false">MAX(0.7, 1-$B$11*(A37-$B$12))</f>
        <v>0.9</v>
      </c>
      <c r="C37" s="12" t="n">
        <f aca="false">$B$8*B37</f>
        <v>11972.7</v>
      </c>
      <c r="D37" s="38" t="n">
        <f aca="false">$B$14*$B$15</f>
        <v>1150</v>
      </c>
      <c r="E37" s="12" t="n">
        <f aca="false">-$B$9*$B$7</f>
        <v>-1740</v>
      </c>
      <c r="F37" s="12" t="n">
        <v>0</v>
      </c>
      <c r="G37" s="12" t="n">
        <f aca="false">C37+E37+F37</f>
        <v>10232.7</v>
      </c>
      <c r="H37" s="20" t="n">
        <f aca="false">1/(1+$B$10)^A37</f>
        <v>0.341175031750671</v>
      </c>
      <c r="I37" s="12" t="n">
        <f aca="false">G37*H37</f>
        <v>3491.14174739509</v>
      </c>
      <c r="J37" s="12" t="n">
        <f aca="false">J36+I37</f>
        <v>-31549.1789615389</v>
      </c>
    </row>
    <row r="38" customFormat="false" ht="15" hidden="false" customHeight="true" outlineLevel="0" collapsed="false">
      <c r="A38" s="1" t="n">
        <v>18</v>
      </c>
      <c r="B38" s="1" t="n">
        <f aca="false">MAX(0.7, 1-$B$11*(A38-$B$12))</f>
        <v>0.88</v>
      </c>
      <c r="C38" s="12" t="n">
        <f aca="false">$B$8*B38</f>
        <v>11706.64</v>
      </c>
      <c r="D38" s="38" t="n">
        <f aca="false">$B$14*$B$15</f>
        <v>1150</v>
      </c>
      <c r="E38" s="12" t="n">
        <f aca="false">-$B$9*$B$7</f>
        <v>-1740</v>
      </c>
      <c r="F38" s="12" t="n">
        <v>0</v>
      </c>
      <c r="G38" s="12" t="n">
        <f aca="false">C38+E38+F38</f>
        <v>9966.64</v>
      </c>
      <c r="H38" s="20" t="n">
        <f aca="false">1/(1+$B$10)^A38</f>
        <v>0.320261927861326</v>
      </c>
      <c r="I38" s="12" t="n">
        <f aca="false">G38*H38</f>
        <v>3191.93534069981</v>
      </c>
      <c r="J38" s="12" t="n">
        <f aca="false">J37+I38</f>
        <v>-28357.2436208391</v>
      </c>
    </row>
    <row r="39" customFormat="false" ht="15" hidden="false" customHeight="true" outlineLevel="0" collapsed="false">
      <c r="A39" s="1" t="n">
        <v>19</v>
      </c>
      <c r="B39" s="1" t="n">
        <f aca="false">MAX(0.7, 1-$B$11*(A39-$B$12))</f>
        <v>0.86</v>
      </c>
      <c r="C39" s="12" t="n">
        <f aca="false">$B$8*B39</f>
        <v>11440.58</v>
      </c>
      <c r="D39" s="38" t="n">
        <f aca="false">$B$14*$B$15</f>
        <v>1150</v>
      </c>
      <c r="E39" s="12" t="n">
        <f aca="false">-$B$9*$B$7</f>
        <v>-1740</v>
      </c>
      <c r="F39" s="12" t="n">
        <v>0</v>
      </c>
      <c r="G39" s="12" t="n">
        <f aca="false">C39+E39+F39</f>
        <v>9700.58</v>
      </c>
      <c r="H39" s="20" t="n">
        <f aca="false">1/(1+$B$10)^A39</f>
        <v>0.300630740506267</v>
      </c>
      <c r="I39" s="12" t="n">
        <f aca="false">G39*H39</f>
        <v>2916.29254874029</v>
      </c>
      <c r="J39" s="12" t="n">
        <f aca="false">J38+I39</f>
        <v>-25440.9510720988</v>
      </c>
    </row>
    <row r="40" customFormat="false" ht="15" hidden="false" customHeight="true" outlineLevel="0" collapsed="false">
      <c r="A40" s="1" t="n">
        <v>20</v>
      </c>
      <c r="B40" s="1" t="n">
        <f aca="false">MAX(0.7, 1-$B$11*(A40-$B$12))</f>
        <v>0.84</v>
      </c>
      <c r="C40" s="12" t="n">
        <f aca="false">$B$8*B40</f>
        <v>11174.52</v>
      </c>
      <c r="D40" s="38" t="n">
        <f aca="false">$B$14*$B$15</f>
        <v>1150</v>
      </c>
      <c r="E40" s="12" t="n">
        <f aca="false">-$B$9*$B$7</f>
        <v>-1740</v>
      </c>
      <c r="F40" s="12" t="n">
        <v>0</v>
      </c>
      <c r="G40" s="12" t="n">
        <f aca="false">C40+E40+F40</f>
        <v>9434.52</v>
      </c>
      <c r="H40" s="20" t="n">
        <f aca="false">1/(1+$B$10)^A40</f>
        <v>0.28220289167959</v>
      </c>
      <c r="I40" s="12" t="n">
        <f aca="false">G40*H40</f>
        <v>2662.44882560893</v>
      </c>
      <c r="J40" s="12" t="n">
        <f aca="false">J39+I40</f>
        <v>-22778.5022464899</v>
      </c>
    </row>
    <row r="42" customFormat="false" ht="15" hidden="false" customHeight="true" outlineLevel="0" collapsed="false">
      <c r="A42" s="11" t="s">
        <v>236</v>
      </c>
      <c r="B42" s="12" t="n">
        <f aca="false">J40</f>
        <v>-22778.5022464899</v>
      </c>
      <c r="C42" s="1" t="s">
        <v>64</v>
      </c>
    </row>
    <row r="43" customFormat="false" ht="15" hidden="false" customHeight="true" outlineLevel="0" collapsed="false">
      <c r="A43" s="1" t="s">
        <v>237</v>
      </c>
      <c r="B43" s="12" t="n">
        <f aca="false">B42+B16</f>
        <v>-1683.74969660361</v>
      </c>
      <c r="C43" s="1" t="s">
        <v>64</v>
      </c>
    </row>
    <row r="44" customFormat="false" ht="15" hidden="false" customHeight="true" outlineLevel="0" collapsed="false">
      <c r="A44" s="1" t="s">
        <v>238</v>
      </c>
      <c r="B44" s="12" t="n">
        <f aca="false">B43+B14*B15*(1-1/(1+B10)^20)/B10</f>
        <v>10957.393864935</v>
      </c>
      <c r="C44" s="1" t="s">
        <v>64</v>
      </c>
    </row>
    <row r="45" customFormat="false" ht="15" hidden="false" customHeight="true" outlineLevel="0" collapsed="false">
      <c r="A45" s="1" t="s">
        <v>164</v>
      </c>
      <c r="B45" s="23" t="n">
        <f aca="false">B7/(B8-B9*B7)</f>
        <v>10.0319986162761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2026-03-19T04:06:51Z</dcterms:created>
  <dc:creator>openpyxl</dc:creator>
  <dc:description/>
  <dc:language>en-US</dc:language>
  <cp:lastModifiedBy/>
  <dcterms:modified xsi:type="dcterms:W3CDTF">2026-03-21T12:08:04Z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