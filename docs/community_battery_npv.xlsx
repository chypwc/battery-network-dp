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NPV — 200kWh" sheetId="2" state="visible" r:id="rId4"/>
    <sheet name="NPV — 400kWh" sheetId="3" state="visible" r:id="rId5"/>
    <sheet name="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<sst xmlns="http://schemas.openxmlformats.org/spreadsheetml/2006/main" count="237" uniqueCount="131">
  <si>
    <t xml:space="preserve">Community Battery NPV Model — Assumptions</t>
  </si>
  <si>
    <t xml:space="preserve">Sources: CSIRO GenCost 2025, AER RORI 2025, Evoenergy TSS 2024</t>
  </si>
  <si>
    <t xml:space="preserve">Parameter</t>
  </si>
  <si>
    <t xml:space="preserve">Value</t>
  </si>
  <si>
    <t xml:space="preserve">Unit</t>
  </si>
  <si>
    <t xml:space="preserve">Source</t>
  </si>
  <si>
    <t xml:space="preserve">Battery Configuration</t>
  </si>
  <si>
    <t xml:space="preserve">Power rating</t>
  </si>
  <si>
    <t xml:space="preserve">kW</t>
  </si>
  <si>
    <t xml:space="preserve">System specification</t>
  </si>
  <si>
    <t xml:space="preserve">Dispatch limit (base case)</t>
  </si>
  <si>
    <t xml:space="preserve">Connection agreement</t>
  </si>
  <si>
    <t xml:space="preserve">Energy capacity — Scenario A</t>
  </si>
  <si>
    <t xml:space="preserve">kWh</t>
  </si>
  <si>
    <t xml:space="preserve">Sensitivity parameter</t>
  </si>
  <si>
    <t xml:space="preserve">Energy capacity — Scenario B</t>
  </si>
  <si>
    <t xml:space="preserve">Capital Costs</t>
  </si>
  <si>
    <t xml:space="preserve">Total installed cost (2hr, 200kWh)</t>
  </si>
  <si>
    <t xml:space="preserve">A$/kWh</t>
  </si>
  <si>
    <t xml:space="preserve">GenCost 2025, 2hr, current policies</t>
  </si>
  <si>
    <t xml:space="preserve">Total installed cost (4hr, 400kWh)</t>
  </si>
  <si>
    <t xml:space="preserve">GenCost 2025, 4hr, current policies</t>
  </si>
  <si>
    <t xml:space="preserve">Battery module cost (2hr)</t>
  </si>
  <si>
    <t xml:space="preserve">GenCost 2025</t>
  </si>
  <si>
    <t xml:space="preserve">Battery module cost (4hr)</t>
  </si>
  <si>
    <t xml:space="preserve">BOP cost (2hr)</t>
  </si>
  <si>
    <t xml:space="preserve">BOP cost (4hr)</t>
  </si>
  <si>
    <t xml:space="preserve">Module cost 2037 (2hr, projected)</t>
  </si>
  <si>
    <t xml:space="preserve">GenCost interpolated, current policies</t>
  </si>
  <si>
    <t xml:space="preserve">Module cost 2037 (4hr, projected)</t>
  </si>
  <si>
    <t xml:space="preserve">Module cost 2037 (2hr, NZE post 2050)</t>
  </si>
  <si>
    <t xml:space="preserve">GenCost interpolated, NZE post 2050</t>
  </si>
  <si>
    <t xml:space="preserve">Module cost 2037 (4hr, NZE post 2050)</t>
  </si>
  <si>
    <t xml:space="preserve">Operating Costs</t>
  </si>
  <si>
    <t xml:space="preserve">O&amp;M (% of capital per year)</t>
  </si>
  <si>
    <t xml:space="preserve">%</t>
  </si>
  <si>
    <t xml:space="preserve">Industry estimate (1.5%)</t>
  </si>
  <si>
    <t xml:space="preserve">Degradation cost</t>
  </si>
  <si>
    <t xml:space="preserve">Battery throughput cost</t>
  </si>
  <si>
    <t xml:space="preserve">Revenue — RL Dispatch (A$/day)</t>
  </si>
  <si>
    <t xml:space="preserve">RL revenue ±50kW / 200kWh</t>
  </si>
  <si>
    <t xml:space="preserve">A$/day</t>
  </si>
  <si>
    <t xml:space="preserve">Q-learning result</t>
  </si>
  <si>
    <t xml:space="preserve">RL revenue ±50kW / 400kWh</t>
  </si>
  <si>
    <t xml:space="preserve">RL revenue ±80kW / 200kWh</t>
  </si>
  <si>
    <t xml:space="preserve">RL revenue ±80kW / 300kWh</t>
  </si>
  <si>
    <t xml:space="preserve">RL revenue ±80kW / 400kWh</t>
  </si>
  <si>
    <t xml:space="preserve">RL revenue ±100kW / 200kWh</t>
  </si>
  <si>
    <t xml:space="preserve">RL revenue ±100kW / 400kWh</t>
  </si>
  <si>
    <t xml:space="preserve">Financial Parameters</t>
  </si>
  <si>
    <t xml:space="preserve">Discount rate (nominal WACC)</t>
  </si>
  <si>
    <t xml:space="preserve">AER RORI 2025 update</t>
  </si>
  <si>
    <t xml:space="preserve">Project lifetime</t>
  </si>
  <si>
    <t xml:space="preserve">years</t>
  </si>
  <si>
    <t xml:space="preserve">Industry standard</t>
  </si>
  <si>
    <t xml:space="preserve">Battery module replacement year</t>
  </si>
  <si>
    <t xml:space="preserve">year</t>
  </si>
  <si>
    <t xml:space="preserve">70% capacity fade threshold</t>
  </si>
  <si>
    <t xml:space="preserve">Capacity fade rate</t>
  </si>
  <si>
    <t xml:space="preserve">/year</t>
  </si>
  <si>
    <t xml:space="preserve">Linear ~2% per year</t>
  </si>
  <si>
    <t xml:space="preserve">Inflation rate</t>
  </si>
  <si>
    <t xml:space="preserve">RBA target</t>
  </si>
  <si>
    <t xml:space="preserve">Network Value</t>
  </si>
  <si>
    <t xml:space="preserve">LRMC import (residential)</t>
  </si>
  <si>
    <t xml:space="preserve">A$/kW/yr</t>
  </si>
  <si>
    <t xml:space="preserve">Evoenergy TSS 2024</t>
  </si>
  <si>
    <t xml:space="preserve">LRMC export (residential)</t>
  </si>
  <si>
    <t xml:space="preserve">Avoided augmentation (transformer)</t>
  </si>
  <si>
    <t xml:space="preserve">A$</t>
  </si>
  <si>
    <t xml:space="preserve">Evoenergy estimate</t>
  </si>
  <si>
    <t xml:space="preserve">Augmentation deferral period</t>
  </si>
  <si>
    <t xml:space="preserve">Assumption</t>
  </si>
  <si>
    <t xml:space="preserve">Export absorption (charge power)</t>
  </si>
  <si>
    <t xml:space="preserve">Midday solar charge</t>
  </si>
  <si>
    <t xml:space="preserve">NPV Model: ±80kW / 200kWh Community Battery</t>
  </si>
  <si>
    <t xml:space="preserve">All values in A$ (2025 real terms)</t>
  </si>
  <si>
    <t xml:space="preserve">Energy capacity</t>
  </si>
  <si>
    <t xml:space="preserve">Capital cost per kWh</t>
  </si>
  <si>
    <t xml:space="preserve">GenCost 2025, 2hr</t>
  </si>
  <si>
    <t xml:space="preserve">Total capital cost</t>
  </si>
  <si>
    <t xml:space="preserve">Daily RL revenue (±80kW)</t>
  </si>
  <si>
    <t xml:space="preserve">Q-learning result, 0 violations</t>
  </si>
  <si>
    <t xml:space="preserve">O&amp;M rate</t>
  </si>
  <si>
    <t xml:space="preserve">% of cap/yr</t>
  </si>
  <si>
    <t xml:space="preserve">Industry estimate</t>
  </si>
  <si>
    <t xml:space="preserve">Discount rate</t>
  </si>
  <si>
    <t xml:space="preserve">AER RORI 2025</t>
  </si>
  <si>
    <t xml:space="preserve">Capacity fade</t>
  </si>
  <si>
    <t xml:space="preserve">Linear</t>
  </si>
  <si>
    <t xml:space="preserve">Module replacement year</t>
  </si>
  <si>
    <t xml:space="preserve">Module cost per kWh</t>
  </si>
  <si>
    <t xml:space="preserve">GenCost 2037 projected, current policies (was A$309 in 2025)</t>
  </si>
  <si>
    <t xml:space="preserve">LRMC export saving (kW)</t>
  </si>
  <si>
    <t xml:space="preserve">Solar absorption</t>
  </si>
  <si>
    <t xml:space="preserve">LRMC export rate</t>
  </si>
  <si>
    <t xml:space="preserve">Avoided augmentation PV</t>
  </si>
  <si>
    <t xml:space="preserve">Annual Cash Flow Projection</t>
  </si>
  <si>
    <t xml:space="preserve">Year</t>
  </si>
  <si>
    <t xml:space="preserve">Capacity Fade</t>
  </si>
  <si>
    <t xml:space="preserve">Adj Revenue/day</t>
  </si>
  <si>
    <t xml:space="preserve">Annual Revenue</t>
  </si>
  <si>
    <t xml:space="preserve">Export LRMC Saving</t>
  </si>
  <si>
    <t xml:space="preserve">O&amp;M Cost</t>
  </si>
  <si>
    <t xml:space="preserve">Module Replacement</t>
  </si>
  <si>
    <t xml:space="preserve">Net Cash Flow</t>
  </si>
  <si>
    <t xml:space="preserve">Discount Factor</t>
  </si>
  <si>
    <t xml:space="preserve">Discounted CF</t>
  </si>
  <si>
    <t xml:space="preserve">Cumulative DCF</t>
  </si>
  <si>
    <t xml:space="preserve">Summary Metrics</t>
  </si>
  <si>
    <t xml:space="preserve">NPV (20 years)</t>
  </si>
  <si>
    <t xml:space="preserve">NPV including avoided augmentation</t>
  </si>
  <si>
    <t xml:space="preserve">Simple payback (years)</t>
  </si>
  <si>
    <t xml:space="preserve">Year 1 annual revenue</t>
  </si>
  <si>
    <t xml:space="preserve">Year 1 net cash flow</t>
  </si>
  <si>
    <t xml:space="preserve">NPV Model: ±80kW / 400kWh Community Battery</t>
  </si>
  <si>
    <t xml:space="preserve">GenCost 2025, 4hr</t>
  </si>
  <si>
    <t xml:space="preserve">GenCost 2037 projected, current policies (was A$269 in 2025)</t>
  </si>
  <si>
    <t xml:space="preserve">Investment Comparison: 200kWh vs 400kWh</t>
  </si>
  <si>
    <t xml:space="preserve">Metric</t>
  </si>
  <si>
    <t xml:space="preserve">200 kWh</t>
  </si>
  <si>
    <t xml:space="preserve">400 kWh</t>
  </si>
  <si>
    <t xml:space="preserve">Difference</t>
  </si>
  <si>
    <t xml:space="preserve">Capital cost</t>
  </si>
  <si>
    <t xml:space="preserve">NPV + avoided augmentation</t>
  </si>
  <si>
    <t xml:space="preserve">RL violations</t>
  </si>
  <si>
    <t xml:space="preserve">DP violations (for comparison)</t>
  </si>
  <si>
    <t xml:space="preserve">Key Insight:</t>
  </si>
  <si>
    <t xml:space="preserve">The 400 kWh battery costs 40% more but earns 42% more revenue per year.</t>
  </si>
  <si>
    <t xml:space="preserve">Both achieve 0 violations with RL dispatch at ±80kW.</t>
  </si>
  <si>
    <t xml:space="preserve">The marginal cost of the extra 200 kWh is only A$46,400 (A$406-A$580 per kWh effect).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</si>
</sst>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\$#,##0.00"/>
    <numFmt numFmtId="168" formatCode="0.0000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i val="true"/>
      <sz val="11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B4C6E7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6" customFormat="false" ht="15" hidden="false" customHeight="true" outlineLevel="0" collapsed="false">
      <c r="A6" s="4" t="s">
        <v>6</v>
      </c>
      <c r="B6" s="5"/>
      <c r="C6" s="5"/>
      <c r="D6" s="5"/>
    </row>
    <row r="7" customFormat="false" ht="15" hidden="false" customHeight="true" outlineLevel="0" collapsed="false">
      <c r="A7" s="1" t="s">
        <v>7</v>
      </c>
      <c r="B7" s="6" t="n">
        <v>100</v>
      </c>
      <c r="C7" s="1" t="s">
        <v>8</v>
      </c>
      <c r="D7" s="7" t="s">
        <v>9</v>
      </c>
    </row>
    <row r="8" customFormat="false" ht="15" hidden="false" customHeight="true" outlineLevel="0" collapsed="false">
      <c r="A8" s="1" t="s">
        <v>10</v>
      </c>
      <c r="B8" s="6" t="n">
        <v>80</v>
      </c>
      <c r="C8" s="1" t="s">
        <v>8</v>
      </c>
      <c r="D8" s="7" t="s">
        <v>11</v>
      </c>
    </row>
    <row r="9" customFormat="false" ht="15" hidden="false" customHeight="true" outlineLevel="0" collapsed="false">
      <c r="A9" s="1" t="s">
        <v>12</v>
      </c>
      <c r="B9" s="6" t="n">
        <v>200</v>
      </c>
      <c r="C9" s="1" t="s">
        <v>13</v>
      </c>
      <c r="D9" s="7" t="s">
        <v>14</v>
      </c>
    </row>
    <row r="10" customFormat="false" ht="15" hidden="false" customHeight="true" outlineLevel="0" collapsed="false">
      <c r="A10" s="1" t="s">
        <v>15</v>
      </c>
      <c r="B10" s="6" t="n">
        <v>400</v>
      </c>
      <c r="C10" s="1" t="s">
        <v>13</v>
      </c>
      <c r="D10" s="7" t="s">
        <v>14</v>
      </c>
    </row>
    <row r="12" customFormat="false" ht="15" hidden="false" customHeight="true" outlineLevel="0" collapsed="false">
      <c r="A12" s="4" t="s">
        <v>16</v>
      </c>
      <c r="B12" s="5"/>
      <c r="C12" s="5"/>
      <c r="D12" s="5"/>
    </row>
    <row r="13" customFormat="false" ht="15" hidden="false" customHeight="true" outlineLevel="0" collapsed="false">
      <c r="A13" s="1" t="s">
        <v>17</v>
      </c>
      <c r="B13" s="6" t="n">
        <v>580</v>
      </c>
      <c r="C13" s="1" t="s">
        <v>18</v>
      </c>
      <c r="D13" s="7" t="s">
        <v>19</v>
      </c>
    </row>
    <row r="14" customFormat="false" ht="15" hidden="false" customHeight="true" outlineLevel="0" collapsed="false">
      <c r="A14" s="1" t="s">
        <v>20</v>
      </c>
      <c r="B14" s="6" t="n">
        <v>406</v>
      </c>
      <c r="C14" s="1" t="s">
        <v>18</v>
      </c>
      <c r="D14" s="7" t="s">
        <v>21</v>
      </c>
    </row>
    <row r="15" customFormat="false" ht="15" hidden="false" customHeight="true" outlineLevel="0" collapsed="false">
      <c r="A15" s="1" t="s">
        <v>22</v>
      </c>
      <c r="B15" s="6" t="n">
        <v>309</v>
      </c>
      <c r="C15" s="1" t="s">
        <v>18</v>
      </c>
      <c r="D15" s="7" t="s">
        <v>23</v>
      </c>
    </row>
    <row r="16" customFormat="false" ht="15" hidden="false" customHeight="true" outlineLevel="0" collapsed="false">
      <c r="A16" s="1" t="s">
        <v>24</v>
      </c>
      <c r="B16" s="6" t="n">
        <v>269</v>
      </c>
      <c r="C16" s="1" t="s">
        <v>18</v>
      </c>
      <c r="D16" s="7" t="s">
        <v>23</v>
      </c>
    </row>
    <row r="17" customFormat="false" ht="15" hidden="false" customHeight="true" outlineLevel="0" collapsed="false">
      <c r="A17" s="1" t="s">
        <v>25</v>
      </c>
      <c r="B17" s="6" t="n">
        <v>271</v>
      </c>
      <c r="C17" s="1" t="s">
        <v>18</v>
      </c>
      <c r="D17" s="7" t="s">
        <v>23</v>
      </c>
    </row>
    <row r="18" customFormat="false" ht="15" hidden="false" customHeight="true" outlineLevel="0" collapsed="false">
      <c r="A18" s="1" t="s">
        <v>26</v>
      </c>
      <c r="B18" s="6" t="n">
        <v>137</v>
      </c>
      <c r="C18" s="1" t="s">
        <v>18</v>
      </c>
      <c r="D18" s="7" t="s">
        <v>23</v>
      </c>
    </row>
    <row r="19" customFormat="false" ht="15" hidden="false" customHeight="true" outlineLevel="0" collapsed="false">
      <c r="A19" s="8" t="s">
        <v>27</v>
      </c>
      <c r="B19" s="6" t="n">
        <v>195</v>
      </c>
      <c r="C19" s="1" t="s">
        <v>18</v>
      </c>
      <c r="D19" s="7" t="s">
        <v>28</v>
      </c>
    </row>
    <row r="20" customFormat="false" ht="15" hidden="false" customHeight="true" outlineLevel="0" collapsed="false">
      <c r="A20" s="8" t="s">
        <v>29</v>
      </c>
      <c r="B20" s="6" t="n">
        <v>168</v>
      </c>
      <c r="C20" s="1" t="s">
        <v>18</v>
      </c>
      <c r="D20" s="7" t="s">
        <v>28</v>
      </c>
    </row>
    <row r="21" customFormat="false" ht="15" hidden="false" customHeight="true" outlineLevel="0" collapsed="false">
      <c r="A21" s="8" t="s">
        <v>30</v>
      </c>
      <c r="B21" s="6" t="n">
        <v>157</v>
      </c>
      <c r="C21" s="1" t="s">
        <v>18</v>
      </c>
      <c r="D21" s="7" t="s">
        <v>31</v>
      </c>
    </row>
    <row r="22" customFormat="false" ht="15" hidden="false" customHeight="true" outlineLevel="0" collapsed="false">
      <c r="A22" s="8" t="s">
        <v>32</v>
      </c>
      <c r="B22" s="6" t="n">
        <v>106</v>
      </c>
      <c r="C22" s="1" t="s">
        <v>18</v>
      </c>
      <c r="D22" s="7" t="s">
        <v>31</v>
      </c>
    </row>
    <row r="24" customFormat="false" ht="15" hidden="false" customHeight="true" outlineLevel="0" collapsed="false">
      <c r="A24" s="4" t="s">
        <v>33</v>
      </c>
      <c r="B24" s="5"/>
      <c r="C24" s="5"/>
      <c r="D24" s="5"/>
    </row>
    <row r="25" customFormat="false" ht="15" hidden="false" customHeight="true" outlineLevel="0" collapsed="false">
      <c r="A25" s="1" t="s">
        <v>34</v>
      </c>
      <c r="B25" s="6" t="n">
        <v>0.015</v>
      </c>
      <c r="C25" s="1" t="s">
        <v>35</v>
      </c>
      <c r="D25" s="7" t="s">
        <v>36</v>
      </c>
    </row>
    <row r="26" customFormat="false" ht="15" hidden="false" customHeight="true" outlineLevel="0" collapsed="false">
      <c r="A26" s="1" t="s">
        <v>37</v>
      </c>
      <c r="B26" s="6" t="n">
        <v>0.02</v>
      </c>
      <c r="C26" s="1" t="s">
        <v>18</v>
      </c>
      <c r="D26" s="7" t="s">
        <v>38</v>
      </c>
    </row>
    <row r="27" customFormat="false" ht="15" hidden="false" customHeight="true" outlineLevel="0" collapsed="false"/>
    <row r="28" customFormat="false" ht="15" hidden="false" customHeight="true" outlineLevel="0" collapsed="false">
      <c r="A28" s="4" t="s">
        <v>39</v>
      </c>
      <c r="B28" s="5"/>
      <c r="C28" s="5"/>
      <c r="D28" s="5"/>
    </row>
    <row r="29" customFormat="false" ht="15" hidden="false" customHeight="true" outlineLevel="0" collapsed="false">
      <c r="A29" s="1" t="s">
        <v>40</v>
      </c>
      <c r="B29" s="6" t="n">
        <v>24.98</v>
      </c>
      <c r="C29" s="1" t="s">
        <v>41</v>
      </c>
      <c r="D29" s="7" t="s">
        <v>42</v>
      </c>
    </row>
    <row r="30" customFormat="false" ht="15" hidden="false" customHeight="true" outlineLevel="0" collapsed="false">
      <c r="A30" s="1" t="s">
        <v>43</v>
      </c>
      <c r="B30" s="6" t="n">
        <v>35.9</v>
      </c>
      <c r="C30" s="1" t="s">
        <v>41</v>
      </c>
      <c r="D30" s="7" t="s">
        <v>42</v>
      </c>
    </row>
    <row r="31" customFormat="false" ht="15" hidden="false" customHeight="true" outlineLevel="0" collapsed="false">
      <c r="A31" s="1" t="s">
        <v>44</v>
      </c>
      <c r="B31" s="6" t="n">
        <v>34.44</v>
      </c>
      <c r="C31" s="1" t="s">
        <v>41</v>
      </c>
      <c r="D31" s="7" t="s">
        <v>42</v>
      </c>
    </row>
    <row r="32" customFormat="false" ht="15" hidden="false" customHeight="true" outlineLevel="0" collapsed="false">
      <c r="A32" s="1" t="s">
        <v>45</v>
      </c>
      <c r="B32" s="6" t="n">
        <v>42.5</v>
      </c>
      <c r="C32" s="1" t="s">
        <v>41</v>
      </c>
      <c r="D32" s="7" t="s">
        <v>42</v>
      </c>
    </row>
    <row r="33" customFormat="false" ht="15" hidden="false" customHeight="true" outlineLevel="0" collapsed="false">
      <c r="A33" s="1" t="s">
        <v>46</v>
      </c>
      <c r="B33" s="6" t="n">
        <v>48.93</v>
      </c>
      <c r="C33" s="1" t="s">
        <v>41</v>
      </c>
      <c r="D33" s="7" t="s">
        <v>42</v>
      </c>
    </row>
    <row r="34" customFormat="false" ht="15" hidden="false" customHeight="true" outlineLevel="0" collapsed="false">
      <c r="A34" s="1" t="s">
        <v>47</v>
      </c>
      <c r="B34" s="6" t="n">
        <v>36.31</v>
      </c>
      <c r="C34" s="1" t="s">
        <v>41</v>
      </c>
      <c r="D34" s="7" t="s">
        <v>42</v>
      </c>
    </row>
    <row r="35" customFormat="false" ht="15" hidden="false" customHeight="true" outlineLevel="0" collapsed="false">
      <c r="A35" s="1" t="s">
        <v>48</v>
      </c>
      <c r="B35" s="6" t="n">
        <v>48.51</v>
      </c>
      <c r="C35" s="1" t="s">
        <v>41</v>
      </c>
      <c r="D35" s="7" t="s">
        <v>42</v>
      </c>
    </row>
    <row r="36" customFormat="false" ht="15" hidden="false" customHeight="true" outlineLevel="0" collapsed="false"/>
    <row r="37" customFormat="false" ht="15" hidden="false" customHeight="true" outlineLevel="0" collapsed="false">
      <c r="A37" s="4" t="s">
        <v>49</v>
      </c>
      <c r="B37" s="5"/>
      <c r="C37" s="5"/>
      <c r="D37" s="5"/>
    </row>
    <row r="38" customFormat="false" ht="15" hidden="false" customHeight="true" outlineLevel="0" collapsed="false">
      <c r="A38" s="1" t="s">
        <v>50</v>
      </c>
      <c r="B38" s="6" t="n">
        <v>0.0653</v>
      </c>
      <c r="C38" s="1" t="s">
        <v>35</v>
      </c>
      <c r="D38" s="7" t="s">
        <v>51</v>
      </c>
    </row>
    <row r="39" customFormat="false" ht="15" hidden="false" customHeight="true" outlineLevel="0" collapsed="false">
      <c r="A39" s="1" t="s">
        <v>52</v>
      </c>
      <c r="B39" s="6" t="n">
        <v>20</v>
      </c>
      <c r="C39" s="1" t="s">
        <v>53</v>
      </c>
      <c r="D39" s="7" t="s">
        <v>54</v>
      </c>
    </row>
    <row r="40" customFormat="false" ht="15" hidden="false" customHeight="true" outlineLevel="0" collapsed="false">
      <c r="A40" s="1" t="s">
        <v>55</v>
      </c>
      <c r="B40" s="6" t="n">
        <v>12</v>
      </c>
      <c r="C40" s="1" t="s">
        <v>56</v>
      </c>
      <c r="D40" s="7" t="s">
        <v>57</v>
      </c>
    </row>
    <row r="41" customFormat="false" ht="15" hidden="false" customHeight="true" outlineLevel="0" collapsed="false">
      <c r="A41" s="1" t="s">
        <v>58</v>
      </c>
      <c r="B41" s="6" t="n">
        <v>0.02</v>
      </c>
      <c r="C41" s="1" t="s">
        <v>59</v>
      </c>
      <c r="D41" s="7" t="s">
        <v>60</v>
      </c>
    </row>
    <row r="42" customFormat="false" ht="15" hidden="false" customHeight="true" outlineLevel="0" collapsed="false">
      <c r="A42" s="1" t="s">
        <v>61</v>
      </c>
      <c r="B42" s="6" t="n">
        <v>0.025</v>
      </c>
      <c r="C42" s="1" t="s">
        <v>35</v>
      </c>
      <c r="D42" s="7" t="s">
        <v>62</v>
      </c>
    </row>
    <row r="43" customFormat="false" ht="15" hidden="false" customHeight="true" outlineLevel="0" collapsed="false"/>
    <row r="44" customFormat="false" ht="15" hidden="false" customHeight="true" outlineLevel="0" collapsed="false">
      <c r="A44" s="4" t="s">
        <v>63</v>
      </c>
      <c r="B44" s="5"/>
      <c r="C44" s="5"/>
      <c r="D44" s="5"/>
    </row>
    <row r="45" customFormat="false" ht="15" hidden="false" customHeight="true" outlineLevel="0" collapsed="false">
      <c r="A45" s="1" t="s">
        <v>64</v>
      </c>
      <c r="B45" s="6" t="n">
        <v>125</v>
      </c>
      <c r="C45" s="1" t="s">
        <v>65</v>
      </c>
      <c r="D45" s="7" t="s">
        <v>66</v>
      </c>
    </row>
    <row r="46" customFormat="false" ht="15" hidden="false" customHeight="true" outlineLevel="0" collapsed="false">
      <c r="A46" s="1" t="s">
        <v>67</v>
      </c>
      <c r="B46" s="6" t="n">
        <v>23</v>
      </c>
      <c r="C46" s="1" t="s">
        <v>65</v>
      </c>
      <c r="D46" s="7" t="s">
        <v>66</v>
      </c>
    </row>
    <row r="47" customFormat="false" ht="15" hidden="false" customHeight="true" outlineLevel="0" collapsed="false">
      <c r="A47" s="1" t="s">
        <v>68</v>
      </c>
      <c r="B47" s="6" t="n">
        <v>45000</v>
      </c>
      <c r="C47" s="1" t="s">
        <v>69</v>
      </c>
      <c r="D47" s="7" t="s">
        <v>70</v>
      </c>
    </row>
    <row r="48" customFormat="false" ht="15" hidden="false" customHeight="true" outlineLevel="0" collapsed="false">
      <c r="A48" s="1" t="s">
        <v>71</v>
      </c>
      <c r="B48" s="6" t="n">
        <v>10</v>
      </c>
      <c r="C48" s="1" t="s">
        <v>53</v>
      </c>
      <c r="D48" s="7" t="s">
        <v>72</v>
      </c>
    </row>
    <row r="49" customFormat="false" ht="15" hidden="false" customHeight="true" outlineLevel="0" collapsed="false">
      <c r="A49" s="1" t="s">
        <v>73</v>
      </c>
      <c r="B49" s="6" t="n">
        <v>50</v>
      </c>
      <c r="C49" s="1" t="s">
        <v>8</v>
      </c>
      <c r="D49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2" min="2" style="1" width="14"/>
  </cols>
  <sheetData>
    <row r="1" customFormat="false" ht="17.25" hidden="false" customHeight="true" outlineLevel="0" collapsed="false">
      <c r="A1" s="2" t="s">
        <v>75</v>
      </c>
    </row>
    <row r="2" customFormat="false" ht="15" hidden="false" customHeight="true" outlineLevel="0" collapsed="false">
      <c r="A2" s="1" t="s">
        <v>76</v>
      </c>
    </row>
    <row r="4" customFormat="false" ht="15" hidden="false" customHeight="true" outlineLevel="0" collapsed="false">
      <c r="A4" s="3"/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1" t="s">
        <v>77</v>
      </c>
      <c r="B5" s="6" t="n">
        <v>200</v>
      </c>
      <c r="C5" s="1" t="s">
        <v>13</v>
      </c>
      <c r="D5" s="7"/>
    </row>
    <row r="6" customFormat="false" ht="15" hidden="false" customHeight="true" outlineLevel="0" collapsed="false">
      <c r="A6" s="1" t="s">
        <v>78</v>
      </c>
      <c r="B6" s="6" t="n">
        <v>580</v>
      </c>
      <c r="C6" s="1" t="s">
        <v>18</v>
      </c>
      <c r="D6" s="7" t="s">
        <v>79</v>
      </c>
    </row>
    <row r="7" customFormat="false" ht="15" hidden="false" customHeight="true" outlineLevel="0" collapsed="false">
      <c r="A7" s="1" t="s">
        <v>80</v>
      </c>
      <c r="B7" s="9" t="n">
        <f aca="false">B5*B6</f>
        <v>116000</v>
      </c>
      <c r="C7" s="1" t="s">
        <v>69</v>
      </c>
      <c r="D7" s="7"/>
    </row>
    <row r="8" customFormat="false" ht="15" hidden="false" customHeight="true" outlineLevel="0" collapsed="false">
      <c r="A8" s="1" t="s">
        <v>81</v>
      </c>
      <c r="B8" s="6" t="n">
        <v>34.44</v>
      </c>
      <c r="C8" s="1" t="s">
        <v>41</v>
      </c>
      <c r="D8" s="7" t="s">
        <v>82</v>
      </c>
    </row>
    <row r="9" customFormat="false" ht="15" hidden="false" customHeight="true" outlineLevel="0" collapsed="false">
      <c r="A9" s="1" t="s">
        <v>83</v>
      </c>
      <c r="B9" s="6" t="n">
        <v>0.015</v>
      </c>
      <c r="C9" s="1" t="s">
        <v>84</v>
      </c>
      <c r="D9" s="7" t="s">
        <v>85</v>
      </c>
    </row>
    <row r="10" customFormat="false" ht="15" hidden="false" customHeight="true" outlineLevel="0" collapsed="false">
      <c r="A10" s="1" t="s">
        <v>86</v>
      </c>
      <c r="B10" s="6" t="n">
        <v>0.0653</v>
      </c>
      <c r="D10" s="7" t="s">
        <v>87</v>
      </c>
    </row>
    <row r="11" customFormat="false" ht="15" hidden="false" customHeight="true" outlineLevel="0" collapsed="false">
      <c r="A11" s="1" t="s">
        <v>88</v>
      </c>
      <c r="B11" s="6" t="n">
        <v>0.02</v>
      </c>
      <c r="C11" s="1" t="s">
        <v>59</v>
      </c>
      <c r="D11" s="7" t="s">
        <v>89</v>
      </c>
    </row>
    <row r="12" customFormat="false" ht="15" hidden="false" customHeight="true" outlineLevel="0" collapsed="false">
      <c r="A12" s="1" t="s">
        <v>90</v>
      </c>
      <c r="B12" s="6" t="n">
        <v>12</v>
      </c>
      <c r="D12" s="7"/>
    </row>
    <row r="13" customFormat="false" ht="15" hidden="false" customHeight="true" outlineLevel="0" collapsed="false">
      <c r="A13" s="1" t="s">
        <v>91</v>
      </c>
      <c r="B13" s="6" t="n">
        <v>195</v>
      </c>
      <c r="C13" s="1" t="s">
        <v>18</v>
      </c>
      <c r="D13" s="7" t="s">
        <v>92</v>
      </c>
    </row>
    <row r="14" customFormat="false" ht="15" hidden="false" customHeight="true" outlineLevel="0" collapsed="false">
      <c r="A14" s="1" t="s">
        <v>93</v>
      </c>
      <c r="B14" s="6" t="n">
        <v>50</v>
      </c>
      <c r="C14" s="1" t="s">
        <v>8</v>
      </c>
      <c r="D14" s="7" t="s">
        <v>94</v>
      </c>
    </row>
    <row r="15" customFormat="false" ht="15" hidden="false" customHeight="true" outlineLevel="0" collapsed="false">
      <c r="A15" s="1" t="s">
        <v>95</v>
      </c>
      <c r="B15" s="6" t="n">
        <v>23</v>
      </c>
      <c r="C15" s="1" t="s">
        <v>65</v>
      </c>
      <c r="D15" s="7" t="s">
        <v>66</v>
      </c>
    </row>
    <row r="16" customFormat="false" ht="15" hidden="false" customHeight="true" outlineLevel="0" collapsed="false">
      <c r="A16" s="1" t="s">
        <v>96</v>
      </c>
      <c r="B16" s="9" t="n">
        <f aca="false">45000*(1-1/(1+B10)^10)</f>
        <v>21094.7525498863</v>
      </c>
      <c r="C16" s="1" t="s">
        <v>69</v>
      </c>
      <c r="D16" s="7"/>
    </row>
    <row r="18" customFormat="false" ht="15" hidden="false" customHeight="true" outlineLevel="0" collapsed="false">
      <c r="A18" s="4" t="s">
        <v>97</v>
      </c>
      <c r="B18" s="5"/>
      <c r="C18" s="5"/>
      <c r="D18" s="5"/>
    </row>
    <row r="19" customFormat="false" ht="27.75" hidden="false" customHeight="true" outlineLevel="0" collapsed="false">
      <c r="A19" s="10" t="s">
        <v>98</v>
      </c>
      <c r="B19" s="10" t="s">
        <v>99</v>
      </c>
      <c r="C19" s="10" t="s">
        <v>100</v>
      </c>
      <c r="D19" s="10" t="s">
        <v>101</v>
      </c>
      <c r="E19" s="10" t="s">
        <v>102</v>
      </c>
      <c r="F19" s="10" t="s">
        <v>103</v>
      </c>
      <c r="G19" s="10" t="s">
        <v>104</v>
      </c>
      <c r="H19" s="10" t="s">
        <v>105</v>
      </c>
      <c r="I19" s="10" t="s">
        <v>106</v>
      </c>
      <c r="J19" s="10" t="s">
        <v>107</v>
      </c>
      <c r="K19" s="10" t="s">
        <v>108</v>
      </c>
    </row>
    <row r="20" customFormat="false" ht="15" hidden="false" customHeight="true" outlineLevel="0" collapsed="false">
      <c r="A20" s="1" t="n">
        <v>0</v>
      </c>
      <c r="G20" s="11" t="n">
        <f aca="false">-B7</f>
        <v>-116000</v>
      </c>
      <c r="H20" s="11" t="n">
        <f aca="false">G20</f>
        <v>-116000</v>
      </c>
      <c r="I20" s="1" t="n">
        <v>1</v>
      </c>
      <c r="J20" s="11" t="n">
        <f aca="false">H20*I20</f>
        <v>-116000</v>
      </c>
      <c r="K20" s="11" t="n">
        <f aca="false">J20</f>
        <v>-116000</v>
      </c>
    </row>
    <row r="21" customFormat="false" ht="15" hidden="false" customHeight="true" outlineLevel="0" collapsed="false">
      <c r="A21" s="1" t="n">
        <v>1</v>
      </c>
      <c r="B21" s="12" t="n">
        <f aca="false">IF(A21&lt;=$B$12, MAX(0.7, 1-$B$11*A21), MAX(0.7, 1-$B$11*(A21-$B$12)))</f>
        <v>0.98</v>
      </c>
      <c r="C21" s="13" t="n">
        <f aca="false">$B$8*B21</f>
        <v>33.7512</v>
      </c>
      <c r="D21" s="11" t="n">
        <f aca="false">C21*365</f>
        <v>12319.188</v>
      </c>
      <c r="E21" s="11" t="n">
        <f aca="false">$B$14*$B$15</f>
        <v>1150</v>
      </c>
      <c r="F21" s="11" t="n">
        <f aca="false">-$B$9*$B$7</f>
        <v>-1740</v>
      </c>
      <c r="G21" s="1" t="n">
        <v>0</v>
      </c>
      <c r="H21" s="11" t="n">
        <f aca="false">D21+E21+F21+G21</f>
        <v>11729.188</v>
      </c>
      <c r="I21" s="14" t="n">
        <f aca="false">1/(1+$B$10)^A21</f>
        <v>0.93870271285084</v>
      </c>
      <c r="J21" s="11" t="n">
        <f aca="false">H21*I21</f>
        <v>11010.2205951375</v>
      </c>
      <c r="K21" s="11" t="n">
        <f aca="false">K20+J21</f>
        <v>-104989.779404862</v>
      </c>
    </row>
    <row r="22" customFormat="false" ht="15" hidden="false" customHeight="true" outlineLevel="0" collapsed="false">
      <c r="A22" s="1" t="n">
        <v>2</v>
      </c>
      <c r="B22" s="12" t="n">
        <f aca="false">IF(A22&lt;=$B$12, MAX(0.7, 1-$B$11*A22), MAX(0.7, 1-$B$11*(A22-$B$12)))</f>
        <v>0.96</v>
      </c>
      <c r="C22" s="13" t="n">
        <f aca="false">$B$8*B22</f>
        <v>33.0624</v>
      </c>
      <c r="D22" s="11" t="n">
        <f aca="false">C22*365</f>
        <v>12067.776</v>
      </c>
      <c r="E22" s="11" t="n">
        <f aca="false">$B$14*$B$15</f>
        <v>1150</v>
      </c>
      <c r="F22" s="11" t="n">
        <f aca="false">-$B$9*$B$7</f>
        <v>-1740</v>
      </c>
      <c r="G22" s="1" t="n">
        <v>0</v>
      </c>
      <c r="H22" s="11" t="n">
        <f aca="false">D22+E22+F22+G22</f>
        <v>11477.776</v>
      </c>
      <c r="I22" s="14" t="n">
        <f aca="false">1/(1+$B$10)^A22</f>
        <v>0.881162783113527</v>
      </c>
      <c r="J22" s="11" t="n">
        <f aca="false">H22*I22</f>
        <v>10113.7890441136</v>
      </c>
      <c r="K22" s="11" t="n">
        <f aca="false">K21+J22</f>
        <v>-94875.9903607488</v>
      </c>
    </row>
    <row r="23" customFormat="false" ht="15" hidden="false" customHeight="true" outlineLevel="0" collapsed="false">
      <c r="A23" s="1" t="n">
        <v>3</v>
      </c>
      <c r="B23" s="12" t="n">
        <f aca="false">IF(A23&lt;=$B$12, MAX(0.7, 1-$B$11*A23), MAX(0.7, 1-$B$11*(A23-$B$12)))</f>
        <v>0.94</v>
      </c>
      <c r="C23" s="13" t="n">
        <f aca="false">$B$8*B23</f>
        <v>32.3736</v>
      </c>
      <c r="D23" s="11" t="n">
        <f aca="false">C23*365</f>
        <v>11816.364</v>
      </c>
      <c r="E23" s="11" t="n">
        <f aca="false">$B$14*$B$15</f>
        <v>1150</v>
      </c>
      <c r="F23" s="11" t="n">
        <f aca="false">-$B$9*$B$7</f>
        <v>-1740</v>
      </c>
      <c r="G23" s="1" t="n">
        <v>0</v>
      </c>
      <c r="H23" s="11" t="n">
        <f aca="false">D23+E23+F23+G23</f>
        <v>11226.364</v>
      </c>
      <c r="I23" s="14" t="n">
        <f aca="false">1/(1+$B$10)^A23</f>
        <v>0.827149894971864</v>
      </c>
      <c r="J23" s="11" t="n">
        <f aca="false">H23*I23</f>
        <v>9285.88580351592</v>
      </c>
      <c r="K23" s="11" t="n">
        <f aca="false">K22+J23</f>
        <v>-85590.1045572329</v>
      </c>
    </row>
    <row r="24" customFormat="false" ht="15" hidden="false" customHeight="true" outlineLevel="0" collapsed="false">
      <c r="A24" s="1" t="n">
        <v>4</v>
      </c>
      <c r="B24" s="12" t="n">
        <f aca="false">IF(A24&lt;=$B$12, MAX(0.7, 1-$B$11*A24), MAX(0.7, 1-$B$11*(A24-$B$12)))</f>
        <v>0.92</v>
      </c>
      <c r="C24" s="13" t="n">
        <f aca="false">$B$8*B24</f>
        <v>31.6848</v>
      </c>
      <c r="D24" s="11" t="n">
        <f aca="false">C24*365</f>
        <v>11564.952</v>
      </c>
      <c r="E24" s="11" t="n">
        <f aca="false">$B$14*$B$15</f>
        <v>1150</v>
      </c>
      <c r="F24" s="11" t="n">
        <f aca="false">-$B$9*$B$7</f>
        <v>-1740</v>
      </c>
      <c r="G24" s="1" t="n">
        <v>0</v>
      </c>
      <c r="H24" s="11" t="n">
        <f aca="false">D24+E24+F24+G24</f>
        <v>10974.952</v>
      </c>
      <c r="I24" s="14" t="n">
        <f aca="false">1/(1+$B$10)^A24</f>
        <v>0.776447850344377</v>
      </c>
      <c r="J24" s="11" t="n">
        <f aca="false">H24*I24</f>
        <v>8521.47788803272</v>
      </c>
      <c r="K24" s="11" t="n">
        <f aca="false">K23+J24</f>
        <v>-77068.6266692002</v>
      </c>
    </row>
    <row r="25" customFormat="false" ht="15" hidden="false" customHeight="true" outlineLevel="0" collapsed="false">
      <c r="A25" s="1" t="n">
        <v>5</v>
      </c>
      <c r="B25" s="12" t="n">
        <f aca="false">IF(A25&lt;=$B$12, MAX(0.7, 1-$B$11*A25), MAX(0.7, 1-$B$11*(A25-$B$12)))</f>
        <v>0.9</v>
      </c>
      <c r="C25" s="13" t="n">
        <f aca="false">$B$8*B25</f>
        <v>30.996</v>
      </c>
      <c r="D25" s="11" t="n">
        <f aca="false">C25*365</f>
        <v>11313.54</v>
      </c>
      <c r="E25" s="11" t="n">
        <f aca="false">$B$14*$B$15</f>
        <v>1150</v>
      </c>
      <c r="F25" s="11" t="n">
        <f aca="false">-$B$9*$B$7</f>
        <v>-1740</v>
      </c>
      <c r="G25" s="1" t="n">
        <v>0</v>
      </c>
      <c r="H25" s="11" t="n">
        <f aca="false">D25+E25+F25+G25</f>
        <v>10723.54</v>
      </c>
      <c r="I25" s="14" t="n">
        <f aca="false">1/(1+$B$10)^A25</f>
        <v>0.72885370350547</v>
      </c>
      <c r="J25" s="11" t="n">
        <f aca="false">H25*I25</f>
        <v>7815.89184368904</v>
      </c>
      <c r="K25" s="11" t="n">
        <f aca="false">K24+J25</f>
        <v>-69252.7348255112</v>
      </c>
    </row>
    <row r="26" customFormat="false" ht="15" hidden="false" customHeight="true" outlineLevel="0" collapsed="false">
      <c r="A26" s="1" t="n">
        <v>6</v>
      </c>
      <c r="B26" s="12" t="n">
        <f aca="false">IF(A26&lt;=$B$12, MAX(0.7, 1-$B$11*A26), MAX(0.7, 1-$B$11*(A26-$B$12)))</f>
        <v>0.88</v>
      </c>
      <c r="C26" s="13" t="n">
        <f aca="false">$B$8*B26</f>
        <v>30.3072</v>
      </c>
      <c r="D26" s="11" t="n">
        <f aca="false">C26*365</f>
        <v>11062.128</v>
      </c>
      <c r="E26" s="11" t="n">
        <f aca="false">$B$14*$B$15</f>
        <v>1150</v>
      </c>
      <c r="F26" s="11" t="n">
        <f aca="false">-$B$9*$B$7</f>
        <v>-1740</v>
      </c>
      <c r="G26" s="1" t="n">
        <v>0</v>
      </c>
      <c r="H26" s="11" t="n">
        <f aca="false">D26+E26+F26+G26</f>
        <v>10472.128</v>
      </c>
      <c r="I26" s="14" t="n">
        <f aca="false">1/(1+$B$10)^A26</f>
        <v>0.684176948751966</v>
      </c>
      <c r="J26" s="11" t="n">
        <f aca="false">H26*I26</f>
        <v>7164.78858198003</v>
      </c>
      <c r="K26" s="11" t="n">
        <f aca="false">K25+J26</f>
        <v>-62087.9462435311</v>
      </c>
    </row>
    <row r="27" customFormat="false" ht="15" hidden="false" customHeight="true" outlineLevel="0" collapsed="false">
      <c r="A27" s="1" t="n">
        <v>7</v>
      </c>
      <c r="B27" s="12" t="n">
        <f aca="false">IF(A27&lt;=$B$12, MAX(0.7, 1-$B$11*A27), MAX(0.7, 1-$B$11*(A27-$B$12)))</f>
        <v>0.86</v>
      </c>
      <c r="C27" s="13" t="n">
        <f aca="false">$B$8*B27</f>
        <v>29.6184</v>
      </c>
      <c r="D27" s="11" t="n">
        <f aca="false">C27*365</f>
        <v>10810.716</v>
      </c>
      <c r="E27" s="11" t="n">
        <f aca="false">$B$14*$B$15</f>
        <v>1150</v>
      </c>
      <c r="F27" s="11" t="n">
        <f aca="false">-$B$9*$B$7</f>
        <v>-1740</v>
      </c>
      <c r="G27" s="1" t="n">
        <v>0</v>
      </c>
      <c r="H27" s="11" t="n">
        <f aca="false">D27+E27+F27+G27</f>
        <v>10220.716</v>
      </c>
      <c r="I27" s="14" t="n">
        <f aca="false">1/(1+$B$10)^A27</f>
        <v>0.642238757863481</v>
      </c>
      <c r="J27" s="11" t="n">
        <f aca="false">H27*I27</f>
        <v>6564.13994831541</v>
      </c>
      <c r="K27" s="11" t="n">
        <f aca="false">K26+J27</f>
        <v>-55523.8062952157</v>
      </c>
    </row>
    <row r="28" customFormat="false" ht="15" hidden="false" customHeight="true" outlineLevel="0" collapsed="false">
      <c r="A28" s="1" t="n">
        <v>8</v>
      </c>
      <c r="B28" s="12" t="n">
        <f aca="false">IF(A28&lt;=$B$12, MAX(0.7, 1-$B$11*A28), MAX(0.7, 1-$B$11*(A28-$B$12)))</f>
        <v>0.84</v>
      </c>
      <c r="C28" s="13" t="n">
        <f aca="false">$B$8*B28</f>
        <v>28.9296</v>
      </c>
      <c r="D28" s="11" t="n">
        <f aca="false">C28*365</f>
        <v>10559.304</v>
      </c>
      <c r="E28" s="11" t="n">
        <f aca="false">$B$14*$B$15</f>
        <v>1150</v>
      </c>
      <c r="F28" s="11" t="n">
        <f aca="false">-$B$9*$B$7</f>
        <v>-1740</v>
      </c>
      <c r="G28" s="1" t="n">
        <v>0</v>
      </c>
      <c r="H28" s="11" t="n">
        <f aca="false">D28+E28+F28+G28</f>
        <v>9969.304</v>
      </c>
      <c r="I28" s="14" t="n">
        <f aca="false">1/(1+$B$10)^A28</f>
        <v>0.602871264304403</v>
      </c>
      <c r="J28" s="11" t="n">
        <f aca="false">H28*I28</f>
        <v>6010.20690671495</v>
      </c>
      <c r="K28" s="11" t="n">
        <f aca="false">K27+J28</f>
        <v>-49513.5993885008</v>
      </c>
    </row>
    <row r="29" customFormat="false" ht="15" hidden="false" customHeight="true" outlineLevel="0" collapsed="false">
      <c r="A29" s="1" t="n">
        <v>9</v>
      </c>
      <c r="B29" s="12" t="n">
        <f aca="false">IF(A29&lt;=$B$12, MAX(0.7, 1-$B$11*A29), MAX(0.7, 1-$B$11*(A29-$B$12)))</f>
        <v>0.82</v>
      </c>
      <c r="C29" s="13" t="n">
        <f aca="false">$B$8*B29</f>
        <v>28.2408</v>
      </c>
      <c r="D29" s="11" t="n">
        <f aca="false">C29*365</f>
        <v>10307.892</v>
      </c>
      <c r="E29" s="11" t="n">
        <f aca="false">$B$14*$B$15</f>
        <v>1150</v>
      </c>
      <c r="F29" s="11" t="n">
        <f aca="false">-$B$9*$B$7</f>
        <v>-1740</v>
      </c>
      <c r="G29" s="1" t="n">
        <v>0</v>
      </c>
      <c r="H29" s="11" t="n">
        <f aca="false">D29+E29+F29+G29</f>
        <v>9717.892</v>
      </c>
      <c r="I29" s="14" t="n">
        <f aca="false">1/(1+$B$10)^A29</f>
        <v>0.565916891302359</v>
      </c>
      <c r="J29" s="11" t="n">
        <f aca="false">H29*I29</f>
        <v>5499.51923065207</v>
      </c>
      <c r="K29" s="11" t="n">
        <f aca="false">K28+J29</f>
        <v>-44014.0801578487</v>
      </c>
    </row>
    <row r="30" customFormat="false" ht="15" hidden="false" customHeight="true" outlineLevel="0" collapsed="false">
      <c r="A30" s="1" t="n">
        <v>10</v>
      </c>
      <c r="B30" s="12" t="n">
        <f aca="false">IF(A30&lt;=$B$12, MAX(0.7, 1-$B$11*A30), MAX(0.7, 1-$B$11*(A30-$B$12)))</f>
        <v>0.8</v>
      </c>
      <c r="C30" s="13" t="n">
        <f aca="false">$B$8*B30</f>
        <v>27.552</v>
      </c>
      <c r="D30" s="11" t="n">
        <f aca="false">C30*365</f>
        <v>10056.48</v>
      </c>
      <c r="E30" s="11" t="n">
        <f aca="false">$B$14*$B$15</f>
        <v>1150</v>
      </c>
      <c r="F30" s="11" t="n">
        <f aca="false">-$B$9*$B$7</f>
        <v>-1740</v>
      </c>
      <c r="G30" s="1" t="n">
        <v>0</v>
      </c>
      <c r="H30" s="11" t="n">
        <f aca="false">D30+E30+F30+G30</f>
        <v>9466.48</v>
      </c>
      <c r="I30" s="14" t="n">
        <f aca="false">1/(1+$B$10)^A30</f>
        <v>0.531227721113639</v>
      </c>
      <c r="J30" s="11" t="n">
        <f aca="false">H30*I30</f>
        <v>5028.85659736784</v>
      </c>
      <c r="K30" s="11" t="n">
        <f aca="false">K29+J30</f>
        <v>-38985.2235604809</v>
      </c>
    </row>
    <row r="31" customFormat="false" ht="15" hidden="false" customHeight="true" outlineLevel="0" collapsed="false">
      <c r="A31" s="1" t="n">
        <v>11</v>
      </c>
      <c r="B31" s="12" t="n">
        <f aca="false">IF(A31&lt;=$B$12, MAX(0.7, 1-$B$11*A31), MAX(0.7, 1-$B$11*(A31-$B$12)))</f>
        <v>0.78</v>
      </c>
      <c r="C31" s="13" t="n">
        <f aca="false">$B$8*B31</f>
        <v>26.8632</v>
      </c>
      <c r="D31" s="11" t="n">
        <f aca="false">C31*365</f>
        <v>9805.068</v>
      </c>
      <c r="E31" s="11" t="n">
        <f aca="false">$B$14*$B$15</f>
        <v>1150</v>
      </c>
      <c r="F31" s="11" t="n">
        <f aca="false">-$B$9*$B$7</f>
        <v>-1740</v>
      </c>
      <c r="G31" s="1" t="n">
        <v>0</v>
      </c>
      <c r="H31" s="11" t="n">
        <f aca="false">D31+E31+F31+G31</f>
        <v>9215.068</v>
      </c>
      <c r="I31" s="14" t="n">
        <f aca="false">1/(1+$B$10)^A31</f>
        <v>0.498664902950942</v>
      </c>
      <c r="J31" s="11" t="n">
        <f aca="false">H31*I31</f>
        <v>4595.23098990633</v>
      </c>
      <c r="K31" s="11" t="n">
        <f aca="false">K30+J31</f>
        <v>-34389.9925705745</v>
      </c>
    </row>
    <row r="32" customFormat="false" ht="15" hidden="false" customHeight="true" outlineLevel="0" collapsed="false">
      <c r="A32" s="1" t="n">
        <v>12</v>
      </c>
      <c r="B32" s="12" t="n">
        <f aca="false">IF(A32&lt;=$B$12, MAX(0.7, 1-$B$11*A32), MAX(0.7, 1-$B$11*(A32-$B$12)))</f>
        <v>0.76</v>
      </c>
      <c r="C32" s="13" t="n">
        <f aca="false">$B$8*B32</f>
        <v>26.1744</v>
      </c>
      <c r="D32" s="11" t="n">
        <f aca="false">C32*365</f>
        <v>9553.656</v>
      </c>
      <c r="E32" s="11" t="n">
        <f aca="false">$B$14*$B$15</f>
        <v>1150</v>
      </c>
      <c r="F32" s="11" t="n">
        <f aca="false">-$B$9*$B$7</f>
        <v>-1740</v>
      </c>
      <c r="G32" s="11" t="n">
        <f aca="false">-$B$13*$B$5</f>
        <v>-39000</v>
      </c>
      <c r="H32" s="11" t="n">
        <f aca="false">D32+E32+F32+G32</f>
        <v>-30036.344</v>
      </c>
      <c r="I32" s="14" t="n">
        <f aca="false">1/(1+$B$10)^A32</f>
        <v>0.468098097203551</v>
      </c>
      <c r="J32" s="11" t="n">
        <f aca="false">H32*I32</f>
        <v>-14059.9554733513</v>
      </c>
      <c r="K32" s="11" t="n">
        <f aca="false">K31+J32</f>
        <v>-48449.9480439258</v>
      </c>
    </row>
    <row r="33" customFormat="false" ht="15" hidden="false" customHeight="true" outlineLevel="0" collapsed="false">
      <c r="A33" s="1" t="n">
        <v>13</v>
      </c>
      <c r="B33" s="12" t="n">
        <f aca="false">IF(A33&lt;=$B$12, MAX(0.7, 1-$B$11*A33), MAX(0.7, 1-$B$11*(A33-$B$12)))</f>
        <v>0.98</v>
      </c>
      <c r="C33" s="13" t="n">
        <f aca="false">$B$8*B33</f>
        <v>33.7512</v>
      </c>
      <c r="D33" s="11" t="n">
        <f aca="false">C33*365</f>
        <v>12319.188</v>
      </c>
      <c r="E33" s="11" t="n">
        <f aca="false">$B$14*$B$15</f>
        <v>1150</v>
      </c>
      <c r="F33" s="11" t="n">
        <f aca="false">-$B$9*$B$7</f>
        <v>-1740</v>
      </c>
      <c r="G33" s="1" t="n">
        <v>0</v>
      </c>
      <c r="H33" s="11" t="n">
        <f aca="false">D33+E33+F33+G33</f>
        <v>11729.188</v>
      </c>
      <c r="I33" s="14" t="n">
        <f aca="false">1/(1+$B$10)^A33</f>
        <v>0.439404953725289</v>
      </c>
      <c r="J33" s="11" t="n">
        <f aca="false">H33*I33</f>
        <v>5153.86331037522</v>
      </c>
      <c r="K33" s="11" t="n">
        <f aca="false">K32+J33</f>
        <v>-43296.0847335506</v>
      </c>
    </row>
    <row r="34" customFormat="false" ht="15" hidden="false" customHeight="true" outlineLevel="0" collapsed="false">
      <c r="A34" s="1" t="n">
        <v>14</v>
      </c>
      <c r="B34" s="12" t="n">
        <f aca="false">IF(A34&lt;=$B$12, MAX(0.7, 1-$B$11*A34), MAX(0.7, 1-$B$11*(A34-$B$12)))</f>
        <v>0.96</v>
      </c>
      <c r="C34" s="13" t="n">
        <f aca="false">$B$8*B34</f>
        <v>33.0624</v>
      </c>
      <c r="D34" s="11" t="n">
        <f aca="false">C34*365</f>
        <v>12067.776</v>
      </c>
      <c r="E34" s="11" t="n">
        <f aca="false">$B$14*$B$15</f>
        <v>1150</v>
      </c>
      <c r="F34" s="11" t="n">
        <f aca="false">-$B$9*$B$7</f>
        <v>-1740</v>
      </c>
      <c r="G34" s="1" t="n">
        <v>0</v>
      </c>
      <c r="H34" s="11" t="n">
        <f aca="false">D34+E34+F34+G34</f>
        <v>11477.776</v>
      </c>
      <c r="I34" s="14" t="n">
        <f aca="false">1/(1+$B$10)^A34</f>
        <v>0.412470622102027</v>
      </c>
      <c r="J34" s="11" t="n">
        <f aca="false">H34*I34</f>
        <v>4734.24540706771</v>
      </c>
      <c r="K34" s="11" t="n">
        <f aca="false">K33+J34</f>
        <v>-38561.8393264829</v>
      </c>
    </row>
    <row r="35" customFormat="false" ht="15" hidden="false" customHeight="true" outlineLevel="0" collapsed="false">
      <c r="A35" s="1" t="n">
        <v>15</v>
      </c>
      <c r="B35" s="12" t="n">
        <f aca="false">IF(A35&lt;=$B$12, MAX(0.7, 1-$B$11*A35), MAX(0.7, 1-$B$11*(A35-$B$12)))</f>
        <v>0.94</v>
      </c>
      <c r="C35" s="13" t="n">
        <f aca="false">$B$8*B35</f>
        <v>32.3736</v>
      </c>
      <c r="D35" s="11" t="n">
        <f aca="false">C35*365</f>
        <v>11816.364</v>
      </c>
      <c r="E35" s="11" t="n">
        <f aca="false">$B$14*$B$15</f>
        <v>1150</v>
      </c>
      <c r="F35" s="11" t="n">
        <f aca="false">-$B$9*$B$7</f>
        <v>-1740</v>
      </c>
      <c r="G35" s="1" t="n">
        <v>0</v>
      </c>
      <c r="H35" s="11" t="n">
        <f aca="false">D35+E35+F35+G35</f>
        <v>11226.364</v>
      </c>
      <c r="I35" s="14" t="n">
        <f aca="false">1/(1+$B$10)^A35</f>
        <v>0.387187291938446</v>
      </c>
      <c r="J35" s="11" t="n">
        <f aca="false">H35*I35</f>
        <v>4346.70547547526</v>
      </c>
      <c r="K35" s="11" t="n">
        <f aca="false">K34+J35</f>
        <v>-34215.1338510076</v>
      </c>
    </row>
    <row r="36" customFormat="false" ht="15" hidden="false" customHeight="true" outlineLevel="0" collapsed="false">
      <c r="A36" s="1" t="n">
        <v>16</v>
      </c>
      <c r="B36" s="12" t="n">
        <f aca="false">IF(A36&lt;=$B$12, MAX(0.7, 1-$B$11*A36), MAX(0.7, 1-$B$11*(A36-$B$12)))</f>
        <v>0.92</v>
      </c>
      <c r="C36" s="13" t="n">
        <f aca="false">$B$8*B36</f>
        <v>31.6848</v>
      </c>
      <c r="D36" s="11" t="n">
        <f aca="false">C36*365</f>
        <v>11564.952</v>
      </c>
      <c r="E36" s="11" t="n">
        <f aca="false">$B$14*$B$15</f>
        <v>1150</v>
      </c>
      <c r="F36" s="11" t="n">
        <f aca="false">-$B$9*$B$7</f>
        <v>-1740</v>
      </c>
      <c r="G36" s="1" t="n">
        <v>0</v>
      </c>
      <c r="H36" s="11" t="n">
        <f aca="false">D36+E36+F36+G36</f>
        <v>10974.952</v>
      </c>
      <c r="I36" s="14" t="n">
        <f aca="false">1/(1+$B$10)^A36</f>
        <v>0.36345376132399</v>
      </c>
      <c r="J36" s="11" t="n">
        <f aca="false">H36*I36</f>
        <v>3988.88758475024</v>
      </c>
      <c r="K36" s="11" t="n">
        <f aca="false">K35+J36</f>
        <v>-30226.2462662574</v>
      </c>
    </row>
    <row r="37" customFormat="false" ht="15" hidden="false" customHeight="true" outlineLevel="0" collapsed="false">
      <c r="A37" s="1" t="n">
        <v>17</v>
      </c>
      <c r="B37" s="12" t="n">
        <f aca="false">IF(A37&lt;=$B$12, MAX(0.7, 1-$B$11*A37), MAX(0.7, 1-$B$11*(A37-$B$12)))</f>
        <v>0.9</v>
      </c>
      <c r="C37" s="13" t="n">
        <f aca="false">$B$8*B37</f>
        <v>30.996</v>
      </c>
      <c r="D37" s="11" t="n">
        <f aca="false">C37*365</f>
        <v>11313.54</v>
      </c>
      <c r="E37" s="11" t="n">
        <f aca="false">$B$14*$B$15</f>
        <v>1150</v>
      </c>
      <c r="F37" s="11" t="n">
        <f aca="false">-$B$9*$B$7</f>
        <v>-1740</v>
      </c>
      <c r="G37" s="1" t="n">
        <v>0</v>
      </c>
      <c r="H37" s="11" t="n">
        <f aca="false">D37+E37+F37+G37</f>
        <v>10723.54</v>
      </c>
      <c r="I37" s="14" t="n">
        <f aca="false">1/(1+$B$10)^A37</f>
        <v>0.341175031750671</v>
      </c>
      <c r="J37" s="11" t="n">
        <f aca="false">H37*I37</f>
        <v>3658.60409997959</v>
      </c>
      <c r="K37" s="11" t="n">
        <f aca="false">K36+J37</f>
        <v>-26567.6421662778</v>
      </c>
    </row>
    <row r="38" customFormat="false" ht="15" hidden="false" customHeight="true" outlineLevel="0" collapsed="false">
      <c r="A38" s="1" t="n">
        <v>18</v>
      </c>
      <c r="B38" s="12" t="n">
        <f aca="false">IF(A38&lt;=$B$12, MAX(0.7, 1-$B$11*A38), MAX(0.7, 1-$B$11*(A38-$B$12)))</f>
        <v>0.88</v>
      </c>
      <c r="C38" s="13" t="n">
        <f aca="false">$B$8*B38</f>
        <v>30.3072</v>
      </c>
      <c r="D38" s="11" t="n">
        <f aca="false">C38*365</f>
        <v>11062.128</v>
      </c>
      <c r="E38" s="11" t="n">
        <f aca="false">$B$14*$B$15</f>
        <v>1150</v>
      </c>
      <c r="F38" s="11" t="n">
        <f aca="false">-$B$9*$B$7</f>
        <v>-1740</v>
      </c>
      <c r="G38" s="1" t="n">
        <v>0</v>
      </c>
      <c r="H38" s="11" t="n">
        <f aca="false">D38+E38+F38+G38</f>
        <v>10472.128</v>
      </c>
      <c r="I38" s="14" t="n">
        <f aca="false">1/(1+$B$10)^A38</f>
        <v>0.320261927861326</v>
      </c>
      <c r="J38" s="11" t="n">
        <f aca="false">H38*I38</f>
        <v>3353.82390209058</v>
      </c>
      <c r="K38" s="11" t="n">
        <f aca="false">K37+J38</f>
        <v>-23213.8182641872</v>
      </c>
    </row>
    <row r="39" customFormat="false" ht="15" hidden="false" customHeight="true" outlineLevel="0" collapsed="false">
      <c r="A39" s="1" t="n">
        <v>19</v>
      </c>
      <c r="B39" s="12" t="n">
        <f aca="false">IF(A39&lt;=$B$12, MAX(0.7, 1-$B$11*A39), MAX(0.7, 1-$B$11*(A39-$B$12)))</f>
        <v>0.86</v>
      </c>
      <c r="C39" s="13" t="n">
        <f aca="false">$B$8*B39</f>
        <v>29.6184</v>
      </c>
      <c r="D39" s="11" t="n">
        <f aca="false">C39*365</f>
        <v>10810.716</v>
      </c>
      <c r="E39" s="11" t="n">
        <f aca="false">$B$14*$B$15</f>
        <v>1150</v>
      </c>
      <c r="F39" s="11" t="n">
        <f aca="false">-$B$9*$B$7</f>
        <v>-1740</v>
      </c>
      <c r="G39" s="1" t="n">
        <v>0</v>
      </c>
      <c r="H39" s="11" t="n">
        <f aca="false">D39+E39+F39+G39</f>
        <v>10220.716</v>
      </c>
      <c r="I39" s="14" t="n">
        <f aca="false">1/(1+$B$10)^A39</f>
        <v>0.300630740506267</v>
      </c>
      <c r="J39" s="11" t="n">
        <f aca="false">H39*I39</f>
        <v>3072.66141958425</v>
      </c>
      <c r="K39" s="11" t="n">
        <f aca="false">K38+J39</f>
        <v>-20141.156844603</v>
      </c>
    </row>
    <row r="40" customFormat="false" ht="15" hidden="false" customHeight="true" outlineLevel="0" collapsed="false">
      <c r="A40" s="1" t="n">
        <v>20</v>
      </c>
      <c r="B40" s="12" t="n">
        <f aca="false">IF(A40&lt;=$B$12, MAX(0.7, 1-$B$11*A40), MAX(0.7, 1-$B$11*(A40-$B$12)))</f>
        <v>0.84</v>
      </c>
      <c r="C40" s="13" t="n">
        <f aca="false">$B$8*B40</f>
        <v>28.9296</v>
      </c>
      <c r="D40" s="11" t="n">
        <f aca="false">C40*365</f>
        <v>10559.304</v>
      </c>
      <c r="E40" s="11" t="n">
        <f aca="false">$B$14*$B$15</f>
        <v>1150</v>
      </c>
      <c r="F40" s="11" t="n">
        <f aca="false">-$B$9*$B$7</f>
        <v>-1740</v>
      </c>
      <c r="G40" s="1" t="n">
        <v>0</v>
      </c>
      <c r="H40" s="11" t="n">
        <f aca="false">D40+E40+F40+G40</f>
        <v>9969.304</v>
      </c>
      <c r="I40" s="14" t="n">
        <f aca="false">1/(1+$B$10)^A40</f>
        <v>0.28220289167959</v>
      </c>
      <c r="J40" s="11" t="n">
        <f aca="false">H40*I40</f>
        <v>2813.3664168329</v>
      </c>
      <c r="K40" s="11" t="n">
        <f aca="false">K39+J40</f>
        <v>-17327.7904277701</v>
      </c>
    </row>
    <row r="42" customFormat="false" ht="15" hidden="false" customHeight="true" outlineLevel="0" collapsed="false">
      <c r="A42" s="4" t="s">
        <v>109</v>
      </c>
      <c r="B42" s="5"/>
      <c r="C42" s="5"/>
      <c r="D42" s="5"/>
    </row>
    <row r="43" customFormat="false" ht="15" hidden="false" customHeight="true" outlineLevel="0" collapsed="false">
      <c r="A43" s="1" t="s">
        <v>80</v>
      </c>
      <c r="B43" s="11" t="n">
        <f aca="false">B7</f>
        <v>116000</v>
      </c>
    </row>
    <row r="44" customFormat="false" ht="15" hidden="false" customHeight="true" outlineLevel="0" collapsed="false">
      <c r="A44" s="1" t="s">
        <v>110</v>
      </c>
      <c r="B44" s="15" t="n">
        <f aca="false">K40</f>
        <v>-17327.7904277701</v>
      </c>
    </row>
    <row r="45" customFormat="false" ht="15" hidden="false" customHeight="true" outlineLevel="0" collapsed="false">
      <c r="A45" s="1" t="s">
        <v>111</v>
      </c>
      <c r="B45" s="15" t="n">
        <f aca="false">K40+B16</f>
        <v>3766.96212211618</v>
      </c>
    </row>
    <row r="46" customFormat="false" ht="15" hidden="false" customHeight="true" outlineLevel="0" collapsed="false">
      <c r="A46" s="1" t="s">
        <v>112</v>
      </c>
      <c r="B46" s="16" t="n">
        <f aca="false">B7/(D21)</f>
        <v>9.4162050290977</v>
      </c>
    </row>
    <row r="47" customFormat="false" ht="15" hidden="false" customHeight="true" outlineLevel="0" collapsed="false">
      <c r="A47" s="1" t="s">
        <v>113</v>
      </c>
      <c r="B47" s="11" t="n">
        <f aca="false">D21</f>
        <v>12319.188</v>
      </c>
    </row>
    <row r="48" customFormat="false" ht="15" hidden="false" customHeight="true" outlineLevel="0" collapsed="false">
      <c r="A48" s="1" t="s">
        <v>114</v>
      </c>
      <c r="B48" s="11" t="n">
        <f aca="false">H21</f>
        <v>11729.188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2" min="2" style="1" width="14"/>
  </cols>
  <sheetData>
    <row r="1" customFormat="false" ht="17.25" hidden="false" customHeight="true" outlineLevel="0" collapsed="false">
      <c r="A1" s="2" t="s">
        <v>115</v>
      </c>
    </row>
    <row r="2" customFormat="false" ht="15" hidden="false" customHeight="true" outlineLevel="0" collapsed="false">
      <c r="A2" s="1" t="s">
        <v>76</v>
      </c>
    </row>
    <row r="4" customFormat="false" ht="15" hidden="false" customHeight="true" outlineLevel="0" collapsed="false">
      <c r="A4" s="3"/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1" t="s">
        <v>77</v>
      </c>
      <c r="B5" s="6" t="n">
        <v>400</v>
      </c>
      <c r="C5" s="1" t="s">
        <v>13</v>
      </c>
      <c r="D5" s="7"/>
    </row>
    <row r="6" customFormat="false" ht="15" hidden="false" customHeight="true" outlineLevel="0" collapsed="false">
      <c r="A6" s="1" t="s">
        <v>78</v>
      </c>
      <c r="B6" s="6" t="n">
        <v>406</v>
      </c>
      <c r="C6" s="1" t="s">
        <v>18</v>
      </c>
      <c r="D6" s="7" t="s">
        <v>116</v>
      </c>
    </row>
    <row r="7" customFormat="false" ht="15" hidden="false" customHeight="true" outlineLevel="0" collapsed="false">
      <c r="A7" s="1" t="s">
        <v>80</v>
      </c>
      <c r="B7" s="9" t="n">
        <f aca="false">B5*B6</f>
        <v>162400</v>
      </c>
      <c r="C7" s="1" t="s">
        <v>69</v>
      </c>
      <c r="D7" s="7"/>
    </row>
    <row r="8" customFormat="false" ht="15" hidden="false" customHeight="true" outlineLevel="0" collapsed="false">
      <c r="A8" s="1" t="s">
        <v>81</v>
      </c>
      <c r="B8" s="6" t="n">
        <v>48.93</v>
      </c>
      <c r="C8" s="1" t="s">
        <v>41</v>
      </c>
      <c r="D8" s="7" t="s">
        <v>82</v>
      </c>
    </row>
    <row r="9" customFormat="false" ht="15" hidden="false" customHeight="true" outlineLevel="0" collapsed="false">
      <c r="A9" s="1" t="s">
        <v>83</v>
      </c>
      <c r="B9" s="6" t="n">
        <v>0.015</v>
      </c>
      <c r="C9" s="1" t="s">
        <v>84</v>
      </c>
      <c r="D9" s="7" t="s">
        <v>85</v>
      </c>
    </row>
    <row r="10" customFormat="false" ht="15" hidden="false" customHeight="true" outlineLevel="0" collapsed="false">
      <c r="A10" s="1" t="s">
        <v>86</v>
      </c>
      <c r="B10" s="6" t="n">
        <v>0.0653</v>
      </c>
      <c r="D10" s="7" t="s">
        <v>87</v>
      </c>
    </row>
    <row r="11" customFormat="false" ht="15" hidden="false" customHeight="true" outlineLevel="0" collapsed="false">
      <c r="A11" s="1" t="s">
        <v>88</v>
      </c>
      <c r="B11" s="6" t="n">
        <v>0.02</v>
      </c>
      <c r="C11" s="1" t="s">
        <v>59</v>
      </c>
      <c r="D11" s="7" t="s">
        <v>89</v>
      </c>
    </row>
    <row r="12" customFormat="false" ht="15" hidden="false" customHeight="true" outlineLevel="0" collapsed="false">
      <c r="A12" s="1" t="s">
        <v>90</v>
      </c>
      <c r="B12" s="6" t="n">
        <v>12</v>
      </c>
      <c r="D12" s="7"/>
    </row>
    <row r="13" customFormat="false" ht="15" hidden="false" customHeight="true" outlineLevel="0" collapsed="false">
      <c r="A13" s="1" t="s">
        <v>91</v>
      </c>
      <c r="B13" s="6" t="n">
        <v>168</v>
      </c>
      <c r="C13" s="1" t="s">
        <v>18</v>
      </c>
      <c r="D13" s="7" t="s">
        <v>117</v>
      </c>
    </row>
    <row r="14" customFormat="false" ht="15" hidden="false" customHeight="true" outlineLevel="0" collapsed="false">
      <c r="A14" s="1" t="s">
        <v>93</v>
      </c>
      <c r="B14" s="6" t="n">
        <v>50</v>
      </c>
      <c r="C14" s="1" t="s">
        <v>8</v>
      </c>
      <c r="D14" s="7" t="s">
        <v>94</v>
      </c>
    </row>
    <row r="15" customFormat="false" ht="15" hidden="false" customHeight="true" outlineLevel="0" collapsed="false">
      <c r="A15" s="1" t="s">
        <v>95</v>
      </c>
      <c r="B15" s="6" t="n">
        <v>23</v>
      </c>
      <c r="C15" s="1" t="s">
        <v>65</v>
      </c>
      <c r="D15" s="7" t="s">
        <v>66</v>
      </c>
    </row>
    <row r="16" customFormat="false" ht="15" hidden="false" customHeight="true" outlineLevel="0" collapsed="false">
      <c r="A16" s="1" t="s">
        <v>96</v>
      </c>
      <c r="B16" s="9" t="n">
        <f aca="false">45000*(1-1/(1+B10)^10)</f>
        <v>21094.7525498863</v>
      </c>
      <c r="C16" s="1" t="s">
        <v>69</v>
      </c>
      <c r="D16" s="7"/>
    </row>
    <row r="18" customFormat="false" ht="15" hidden="false" customHeight="true" outlineLevel="0" collapsed="false">
      <c r="A18" s="4" t="s">
        <v>97</v>
      </c>
      <c r="B18" s="5"/>
      <c r="C18" s="5"/>
      <c r="D18" s="5"/>
    </row>
    <row r="19" customFormat="false" ht="27.75" hidden="false" customHeight="true" outlineLevel="0" collapsed="false">
      <c r="A19" s="10" t="s">
        <v>98</v>
      </c>
      <c r="B19" s="10" t="s">
        <v>99</v>
      </c>
      <c r="C19" s="10" t="s">
        <v>100</v>
      </c>
      <c r="D19" s="10" t="s">
        <v>101</v>
      </c>
      <c r="E19" s="10" t="s">
        <v>102</v>
      </c>
      <c r="F19" s="10" t="s">
        <v>103</v>
      </c>
      <c r="G19" s="10" t="s">
        <v>104</v>
      </c>
      <c r="H19" s="10" t="s">
        <v>105</v>
      </c>
      <c r="I19" s="10" t="s">
        <v>106</v>
      </c>
      <c r="J19" s="10" t="s">
        <v>107</v>
      </c>
      <c r="K19" s="10" t="s">
        <v>108</v>
      </c>
    </row>
    <row r="20" customFormat="false" ht="15" hidden="false" customHeight="true" outlineLevel="0" collapsed="false">
      <c r="A20" s="1" t="n">
        <v>0</v>
      </c>
      <c r="G20" s="11" t="n">
        <f aca="false">-B7</f>
        <v>-162400</v>
      </c>
      <c r="H20" s="11" t="n">
        <f aca="false">G20</f>
        <v>-162400</v>
      </c>
      <c r="I20" s="1" t="n">
        <v>1</v>
      </c>
      <c r="J20" s="11" t="n">
        <f aca="false">H20*I20</f>
        <v>-162400</v>
      </c>
      <c r="K20" s="11" t="n">
        <f aca="false">J20</f>
        <v>-162400</v>
      </c>
    </row>
    <row r="21" customFormat="false" ht="15" hidden="false" customHeight="true" outlineLevel="0" collapsed="false">
      <c r="A21" s="1" t="n">
        <v>1</v>
      </c>
      <c r="B21" s="12" t="n">
        <f aca="false">IF(A21&lt;=$B$12, MAX(0.7, 1-$B$11*A21), MAX(0.7, 1-$B$11*(A21-$B$12)))</f>
        <v>0.98</v>
      </c>
      <c r="C21" s="13" t="n">
        <f aca="false">$B$8*B21</f>
        <v>47.9514</v>
      </c>
      <c r="D21" s="11" t="n">
        <f aca="false">C21*365</f>
        <v>17502.261</v>
      </c>
      <c r="E21" s="11" t="n">
        <f aca="false">$B$14*$B$15</f>
        <v>1150</v>
      </c>
      <c r="F21" s="11" t="n">
        <f aca="false">-$B$9*$B$7</f>
        <v>-2436</v>
      </c>
      <c r="G21" s="1" t="n">
        <v>0</v>
      </c>
      <c r="H21" s="11" t="n">
        <f aca="false">D21+E21+F21+G21</f>
        <v>16216.261</v>
      </c>
      <c r="I21" s="14" t="n">
        <f aca="false">1/(1+$B$10)^A21</f>
        <v>0.93870271285084</v>
      </c>
      <c r="J21" s="11" t="n">
        <f aca="false">H21*I21</f>
        <v>15222.2481929973</v>
      </c>
      <c r="K21" s="11" t="n">
        <f aca="false">K20+J21</f>
        <v>-147177.751807003</v>
      </c>
    </row>
    <row r="22" customFormat="false" ht="15" hidden="false" customHeight="true" outlineLevel="0" collapsed="false">
      <c r="A22" s="1" t="n">
        <v>2</v>
      </c>
      <c r="B22" s="12" t="n">
        <f aca="false">IF(A22&lt;=$B$12, MAX(0.7, 1-$B$11*A22), MAX(0.7, 1-$B$11*(A22-$B$12)))</f>
        <v>0.96</v>
      </c>
      <c r="C22" s="13" t="n">
        <f aca="false">$B$8*B22</f>
        <v>46.9728</v>
      </c>
      <c r="D22" s="11" t="n">
        <f aca="false">C22*365</f>
        <v>17145.072</v>
      </c>
      <c r="E22" s="11" t="n">
        <f aca="false">$B$14*$B$15</f>
        <v>1150</v>
      </c>
      <c r="F22" s="11" t="n">
        <f aca="false">-$B$9*$B$7</f>
        <v>-2436</v>
      </c>
      <c r="G22" s="1" t="n">
        <v>0</v>
      </c>
      <c r="H22" s="11" t="n">
        <f aca="false">D22+E22+F22+G22</f>
        <v>15859.072</v>
      </c>
      <c r="I22" s="14" t="n">
        <f aca="false">1/(1+$B$10)^A22</f>
        <v>0.881162783113527</v>
      </c>
      <c r="J22" s="11" t="n">
        <f aca="false">H22*I22</f>
        <v>13974.4240211178</v>
      </c>
      <c r="K22" s="11" t="n">
        <f aca="false">K21+J22</f>
        <v>-133203.327785885</v>
      </c>
    </row>
    <row r="23" customFormat="false" ht="15" hidden="false" customHeight="true" outlineLevel="0" collapsed="false">
      <c r="A23" s="1" t="n">
        <v>3</v>
      </c>
      <c r="B23" s="12" t="n">
        <f aca="false">IF(A23&lt;=$B$12, MAX(0.7, 1-$B$11*A23), MAX(0.7, 1-$B$11*(A23-$B$12)))</f>
        <v>0.94</v>
      </c>
      <c r="C23" s="13" t="n">
        <f aca="false">$B$8*B23</f>
        <v>45.9942</v>
      </c>
      <c r="D23" s="11" t="n">
        <f aca="false">C23*365</f>
        <v>16787.883</v>
      </c>
      <c r="E23" s="11" t="n">
        <f aca="false">$B$14*$B$15</f>
        <v>1150</v>
      </c>
      <c r="F23" s="11" t="n">
        <f aca="false">-$B$9*$B$7</f>
        <v>-2436</v>
      </c>
      <c r="G23" s="1" t="n">
        <v>0</v>
      </c>
      <c r="H23" s="11" t="n">
        <f aca="false">D23+E23+F23+G23</f>
        <v>15501.883</v>
      </c>
      <c r="I23" s="14" t="n">
        <f aca="false">1/(1+$B$10)^A23</f>
        <v>0.827149894971864</v>
      </c>
      <c r="J23" s="11" t="n">
        <f aca="false">H23*I23</f>
        <v>12822.3808953161</v>
      </c>
      <c r="K23" s="11" t="n">
        <f aca="false">K22+J23</f>
        <v>-120380.946890569</v>
      </c>
    </row>
    <row r="24" customFormat="false" ht="15" hidden="false" customHeight="true" outlineLevel="0" collapsed="false">
      <c r="A24" s="1" t="n">
        <v>4</v>
      </c>
      <c r="B24" s="12" t="n">
        <f aca="false">IF(A24&lt;=$B$12, MAX(0.7, 1-$B$11*A24), MAX(0.7, 1-$B$11*(A24-$B$12)))</f>
        <v>0.92</v>
      </c>
      <c r="C24" s="13" t="n">
        <f aca="false">$B$8*B24</f>
        <v>45.0156</v>
      </c>
      <c r="D24" s="11" t="n">
        <f aca="false">C24*365</f>
        <v>16430.694</v>
      </c>
      <c r="E24" s="11" t="n">
        <f aca="false">$B$14*$B$15</f>
        <v>1150</v>
      </c>
      <c r="F24" s="11" t="n">
        <f aca="false">-$B$9*$B$7</f>
        <v>-2436</v>
      </c>
      <c r="G24" s="1" t="n">
        <v>0</v>
      </c>
      <c r="H24" s="11" t="n">
        <f aca="false">D24+E24+F24+G24</f>
        <v>15144.694</v>
      </c>
      <c r="I24" s="14" t="n">
        <f aca="false">1/(1+$B$10)^A24</f>
        <v>0.776447850344377</v>
      </c>
      <c r="J24" s="11" t="n">
        <f aca="false">H24*I24</f>
        <v>11759.0651004234</v>
      </c>
      <c r="K24" s="11" t="n">
        <f aca="false">K23+J24</f>
        <v>-108621.881790145</v>
      </c>
    </row>
    <row r="25" customFormat="false" ht="15" hidden="false" customHeight="true" outlineLevel="0" collapsed="false">
      <c r="A25" s="1" t="n">
        <v>5</v>
      </c>
      <c r="B25" s="12" t="n">
        <f aca="false">IF(A25&lt;=$B$12, MAX(0.7, 1-$B$11*A25), MAX(0.7, 1-$B$11*(A25-$B$12)))</f>
        <v>0.9</v>
      </c>
      <c r="C25" s="13" t="n">
        <f aca="false">$B$8*B25</f>
        <v>44.037</v>
      </c>
      <c r="D25" s="11" t="n">
        <f aca="false">C25*365</f>
        <v>16073.505</v>
      </c>
      <c r="E25" s="11" t="n">
        <f aca="false">$B$14*$B$15</f>
        <v>1150</v>
      </c>
      <c r="F25" s="11" t="n">
        <f aca="false">-$B$9*$B$7</f>
        <v>-2436</v>
      </c>
      <c r="G25" s="1" t="n">
        <v>0</v>
      </c>
      <c r="H25" s="11" t="n">
        <f aca="false">D25+E25+F25+G25</f>
        <v>14787.505</v>
      </c>
      <c r="I25" s="14" t="n">
        <f aca="false">1/(1+$B$10)^A25</f>
        <v>0.72885370350547</v>
      </c>
      <c r="J25" s="11" t="n">
        <f aca="false">H25*I25</f>
        <v>10777.9277848556</v>
      </c>
      <c r="K25" s="11" t="n">
        <f aca="false">K24+J25</f>
        <v>-97843.9540052898</v>
      </c>
    </row>
    <row r="26" customFormat="false" ht="15" hidden="false" customHeight="true" outlineLevel="0" collapsed="false">
      <c r="A26" s="1" t="n">
        <v>6</v>
      </c>
      <c r="B26" s="12" t="n">
        <f aca="false">IF(A26&lt;=$B$12, MAX(0.7, 1-$B$11*A26), MAX(0.7, 1-$B$11*(A26-$B$12)))</f>
        <v>0.88</v>
      </c>
      <c r="C26" s="13" t="n">
        <f aca="false">$B$8*B26</f>
        <v>43.0584</v>
      </c>
      <c r="D26" s="11" t="n">
        <f aca="false">C26*365</f>
        <v>15716.316</v>
      </c>
      <c r="E26" s="11" t="n">
        <f aca="false">$B$14*$B$15</f>
        <v>1150</v>
      </c>
      <c r="F26" s="11" t="n">
        <f aca="false">-$B$9*$B$7</f>
        <v>-2436</v>
      </c>
      <c r="G26" s="1" t="n">
        <v>0</v>
      </c>
      <c r="H26" s="11" t="n">
        <f aca="false">D26+E26+F26+G26</f>
        <v>14430.316</v>
      </c>
      <c r="I26" s="14" t="n">
        <f aca="false">1/(1+$B$10)^A26</f>
        <v>0.684176948751966</v>
      </c>
      <c r="J26" s="11" t="n">
        <f aca="false">H26*I26</f>
        <v>9872.88957040668</v>
      </c>
      <c r="K26" s="11" t="n">
        <f aca="false">K25+J26</f>
        <v>-87971.0644348831</v>
      </c>
    </row>
    <row r="27" customFormat="false" ht="15" hidden="false" customHeight="true" outlineLevel="0" collapsed="false">
      <c r="A27" s="1" t="n">
        <v>7</v>
      </c>
      <c r="B27" s="12" t="n">
        <f aca="false">IF(A27&lt;=$B$12, MAX(0.7, 1-$B$11*A27), MAX(0.7, 1-$B$11*(A27-$B$12)))</f>
        <v>0.86</v>
      </c>
      <c r="C27" s="13" t="n">
        <f aca="false">$B$8*B27</f>
        <v>42.0798</v>
      </c>
      <c r="D27" s="11" t="n">
        <f aca="false">C27*365</f>
        <v>15359.127</v>
      </c>
      <c r="E27" s="11" t="n">
        <f aca="false">$B$14*$B$15</f>
        <v>1150</v>
      </c>
      <c r="F27" s="11" t="n">
        <f aca="false">-$B$9*$B$7</f>
        <v>-2436</v>
      </c>
      <c r="G27" s="1" t="n">
        <v>0</v>
      </c>
      <c r="H27" s="11" t="n">
        <f aca="false">D27+E27+F27+G27</f>
        <v>14073.127</v>
      </c>
      <c r="I27" s="14" t="n">
        <f aca="false">1/(1+$B$10)^A27</f>
        <v>0.642238757863481</v>
      </c>
      <c r="J27" s="11" t="n">
        <f aca="false">H27*I27</f>
        <v>9038.30760373502</v>
      </c>
      <c r="K27" s="11" t="n">
        <f aca="false">K26+J27</f>
        <v>-78932.7568311481</v>
      </c>
    </row>
    <row r="28" customFormat="false" ht="15" hidden="false" customHeight="true" outlineLevel="0" collapsed="false">
      <c r="A28" s="1" t="n">
        <v>8</v>
      </c>
      <c r="B28" s="12" t="n">
        <f aca="false">IF(A28&lt;=$B$12, MAX(0.7, 1-$B$11*A28), MAX(0.7, 1-$B$11*(A28-$B$12)))</f>
        <v>0.84</v>
      </c>
      <c r="C28" s="13" t="n">
        <f aca="false">$B$8*B28</f>
        <v>41.1012</v>
      </c>
      <c r="D28" s="11" t="n">
        <f aca="false">C28*365</f>
        <v>15001.938</v>
      </c>
      <c r="E28" s="11" t="n">
        <f aca="false">$B$14*$B$15</f>
        <v>1150</v>
      </c>
      <c r="F28" s="11" t="n">
        <f aca="false">-$B$9*$B$7</f>
        <v>-2436</v>
      </c>
      <c r="G28" s="1" t="n">
        <v>0</v>
      </c>
      <c r="H28" s="11" t="n">
        <f aca="false">D28+E28+F28+G28</f>
        <v>13715.938</v>
      </c>
      <c r="I28" s="14" t="n">
        <f aca="false">1/(1+$B$10)^A28</f>
        <v>0.602871264304403</v>
      </c>
      <c r="J28" s="11" t="n">
        <f aca="false">H28*I28</f>
        <v>8268.94488318081</v>
      </c>
      <c r="K28" s="11" t="n">
        <f aca="false">K27+J28</f>
        <v>-70663.8119479673</v>
      </c>
    </row>
    <row r="29" customFormat="false" ht="15" hidden="false" customHeight="true" outlineLevel="0" collapsed="false">
      <c r="A29" s="1" t="n">
        <v>9</v>
      </c>
      <c r="B29" s="12" t="n">
        <f aca="false">IF(A29&lt;=$B$12, MAX(0.7, 1-$B$11*A29), MAX(0.7, 1-$B$11*(A29-$B$12)))</f>
        <v>0.82</v>
      </c>
      <c r="C29" s="13" t="n">
        <f aca="false">$B$8*B29</f>
        <v>40.1226</v>
      </c>
      <c r="D29" s="11" t="n">
        <f aca="false">C29*365</f>
        <v>14644.749</v>
      </c>
      <c r="E29" s="11" t="n">
        <f aca="false">$B$14*$B$15</f>
        <v>1150</v>
      </c>
      <c r="F29" s="11" t="n">
        <f aca="false">-$B$9*$B$7</f>
        <v>-2436</v>
      </c>
      <c r="G29" s="1" t="n">
        <v>0</v>
      </c>
      <c r="H29" s="11" t="n">
        <f aca="false">D29+E29+F29+G29</f>
        <v>13358.749</v>
      </c>
      <c r="I29" s="14" t="n">
        <f aca="false">1/(1+$B$10)^A29</f>
        <v>0.565916891302359</v>
      </c>
      <c r="J29" s="11" t="n">
        <f aca="false">H29*I29</f>
        <v>7559.9417057685</v>
      </c>
      <c r="K29" s="11" t="n">
        <f aca="false">K28+J29</f>
        <v>-63103.8702421988</v>
      </c>
    </row>
    <row r="30" customFormat="false" ht="15" hidden="false" customHeight="true" outlineLevel="0" collapsed="false">
      <c r="A30" s="1" t="n">
        <v>10</v>
      </c>
      <c r="B30" s="12" t="n">
        <f aca="false">IF(A30&lt;=$B$12, MAX(0.7, 1-$B$11*A30), MAX(0.7, 1-$B$11*(A30-$B$12)))</f>
        <v>0.8</v>
      </c>
      <c r="C30" s="13" t="n">
        <f aca="false">$B$8*B30</f>
        <v>39.144</v>
      </c>
      <c r="D30" s="11" t="n">
        <f aca="false">C30*365</f>
        <v>14287.56</v>
      </c>
      <c r="E30" s="11" t="n">
        <f aca="false">$B$14*$B$15</f>
        <v>1150</v>
      </c>
      <c r="F30" s="11" t="n">
        <f aca="false">-$B$9*$B$7</f>
        <v>-2436</v>
      </c>
      <c r="G30" s="1" t="n">
        <v>0</v>
      </c>
      <c r="H30" s="11" t="n">
        <f aca="false">D30+E30+F30+G30</f>
        <v>13001.56</v>
      </c>
      <c r="I30" s="14" t="n">
        <f aca="false">1/(1+$B$10)^A30</f>
        <v>0.531227721113639</v>
      </c>
      <c r="J30" s="11" t="n">
        <f aca="false">H30*I30</f>
        <v>6906.78908972224</v>
      </c>
      <c r="K30" s="11" t="n">
        <f aca="false">K29+J30</f>
        <v>-56197.0811524765</v>
      </c>
    </row>
    <row r="31" customFormat="false" ht="15" hidden="false" customHeight="true" outlineLevel="0" collapsed="false">
      <c r="A31" s="1" t="n">
        <v>11</v>
      </c>
      <c r="B31" s="12" t="n">
        <f aca="false">IF(A31&lt;=$B$12, MAX(0.7, 1-$B$11*A31), MAX(0.7, 1-$B$11*(A31-$B$12)))</f>
        <v>0.78</v>
      </c>
      <c r="C31" s="13" t="n">
        <f aca="false">$B$8*B31</f>
        <v>38.1654</v>
      </c>
      <c r="D31" s="11" t="n">
        <f aca="false">C31*365</f>
        <v>13930.371</v>
      </c>
      <c r="E31" s="11" t="n">
        <f aca="false">$B$14*$B$15</f>
        <v>1150</v>
      </c>
      <c r="F31" s="11" t="n">
        <f aca="false">-$B$9*$B$7</f>
        <v>-2436</v>
      </c>
      <c r="G31" s="1" t="n">
        <v>0</v>
      </c>
      <c r="H31" s="11" t="n">
        <f aca="false">D31+E31+F31+G31</f>
        <v>12644.371</v>
      </c>
      <c r="I31" s="14" t="n">
        <f aca="false">1/(1+$B$10)^A31</f>
        <v>0.498664902950942</v>
      </c>
      <c r="J31" s="11" t="n">
        <f aca="false">H31*I31</f>
        <v>6305.30403759071</v>
      </c>
      <c r="K31" s="11" t="n">
        <f aca="false">K30+J31</f>
        <v>-49891.7771148858</v>
      </c>
    </row>
    <row r="32" customFormat="false" ht="15" hidden="false" customHeight="true" outlineLevel="0" collapsed="false">
      <c r="A32" s="1" t="n">
        <v>12</v>
      </c>
      <c r="B32" s="12" t="n">
        <f aca="false">IF(A32&lt;=$B$12, MAX(0.7, 1-$B$11*A32), MAX(0.7, 1-$B$11*(A32-$B$12)))</f>
        <v>0.76</v>
      </c>
      <c r="C32" s="13" t="n">
        <f aca="false">$B$8*B32</f>
        <v>37.1868</v>
      </c>
      <c r="D32" s="11" t="n">
        <f aca="false">C32*365</f>
        <v>13573.182</v>
      </c>
      <c r="E32" s="11" t="n">
        <f aca="false">$B$14*$B$15</f>
        <v>1150</v>
      </c>
      <c r="F32" s="11" t="n">
        <f aca="false">-$B$9*$B$7</f>
        <v>-2436</v>
      </c>
      <c r="G32" s="11" t="n">
        <f aca="false">-$B$13*$B$5</f>
        <v>-67200</v>
      </c>
      <c r="H32" s="11" t="n">
        <f aca="false">D32+E32+F32+G32</f>
        <v>-54912.818</v>
      </c>
      <c r="I32" s="14" t="n">
        <f aca="false">1/(1+$B$10)^A32</f>
        <v>0.468098097203551</v>
      </c>
      <c r="J32" s="11" t="n">
        <f aca="false">H32*I32</f>
        <v>-25704.5856178849</v>
      </c>
      <c r="K32" s="11" t="n">
        <f aca="false">K31+J32</f>
        <v>-75596.3627327707</v>
      </c>
    </row>
    <row r="33" customFormat="false" ht="15" hidden="false" customHeight="true" outlineLevel="0" collapsed="false">
      <c r="A33" s="1" t="n">
        <v>13</v>
      </c>
      <c r="B33" s="12" t="n">
        <f aca="false">IF(A33&lt;=$B$12, MAX(0.7, 1-$B$11*A33), MAX(0.7, 1-$B$11*(A33-$B$12)))</f>
        <v>0.98</v>
      </c>
      <c r="C33" s="13" t="n">
        <f aca="false">$B$8*B33</f>
        <v>47.9514</v>
      </c>
      <c r="D33" s="11" t="n">
        <f aca="false">C33*365</f>
        <v>17502.261</v>
      </c>
      <c r="E33" s="11" t="n">
        <f aca="false">$B$14*$B$15</f>
        <v>1150</v>
      </c>
      <c r="F33" s="11" t="n">
        <f aca="false">-$B$9*$B$7</f>
        <v>-2436</v>
      </c>
      <c r="G33" s="1" t="n">
        <v>0</v>
      </c>
      <c r="H33" s="11" t="n">
        <f aca="false">D33+E33+F33+G33</f>
        <v>16216.261</v>
      </c>
      <c r="I33" s="14" t="n">
        <f aca="false">1/(1+$B$10)^A33</f>
        <v>0.439404953725289</v>
      </c>
      <c r="J33" s="11" t="n">
        <f aca="false">H33*I33</f>
        <v>7125.50541430221</v>
      </c>
      <c r="K33" s="11" t="n">
        <f aca="false">K32+J33</f>
        <v>-68470.8573184685</v>
      </c>
    </row>
    <row r="34" customFormat="false" ht="15" hidden="false" customHeight="true" outlineLevel="0" collapsed="false">
      <c r="A34" s="1" t="n">
        <v>14</v>
      </c>
      <c r="B34" s="12" t="n">
        <f aca="false">IF(A34&lt;=$B$12, MAX(0.7, 1-$B$11*A34), MAX(0.7, 1-$B$11*(A34-$B$12)))</f>
        <v>0.96</v>
      </c>
      <c r="C34" s="13" t="n">
        <f aca="false">$B$8*B34</f>
        <v>46.9728</v>
      </c>
      <c r="D34" s="11" t="n">
        <f aca="false">C34*365</f>
        <v>17145.072</v>
      </c>
      <c r="E34" s="11" t="n">
        <f aca="false">$B$14*$B$15</f>
        <v>1150</v>
      </c>
      <c r="F34" s="11" t="n">
        <f aca="false">-$B$9*$B$7</f>
        <v>-2436</v>
      </c>
      <c r="G34" s="1" t="n">
        <v>0</v>
      </c>
      <c r="H34" s="11" t="n">
        <f aca="false">D34+E34+F34+G34</f>
        <v>15859.072</v>
      </c>
      <c r="I34" s="14" t="n">
        <f aca="false">1/(1+$B$10)^A34</f>
        <v>0.412470622102027</v>
      </c>
      <c r="J34" s="11" t="n">
        <f aca="false">H34*I34</f>
        <v>6541.40129380084</v>
      </c>
      <c r="K34" s="11" t="n">
        <f aca="false">K33+J34</f>
        <v>-61929.4560246676</v>
      </c>
    </row>
    <row r="35" customFormat="false" ht="15" hidden="false" customHeight="true" outlineLevel="0" collapsed="false">
      <c r="A35" s="1" t="n">
        <v>15</v>
      </c>
      <c r="B35" s="12" t="n">
        <f aca="false">IF(A35&lt;=$B$12, MAX(0.7, 1-$B$11*A35), MAX(0.7, 1-$B$11*(A35-$B$12)))</f>
        <v>0.94</v>
      </c>
      <c r="C35" s="13" t="n">
        <f aca="false">$B$8*B35</f>
        <v>45.9942</v>
      </c>
      <c r="D35" s="11" t="n">
        <f aca="false">C35*365</f>
        <v>16787.883</v>
      </c>
      <c r="E35" s="11" t="n">
        <f aca="false">$B$14*$B$15</f>
        <v>1150</v>
      </c>
      <c r="F35" s="11" t="n">
        <f aca="false">-$B$9*$B$7</f>
        <v>-2436</v>
      </c>
      <c r="G35" s="1" t="n">
        <v>0</v>
      </c>
      <c r="H35" s="11" t="n">
        <f aca="false">D35+E35+F35+G35</f>
        <v>15501.883</v>
      </c>
      <c r="I35" s="14" t="n">
        <f aca="false">1/(1+$B$10)^A35</f>
        <v>0.387187291938446</v>
      </c>
      <c r="J35" s="11" t="n">
        <f aca="false">H35*I35</f>
        <v>6002.13209871664</v>
      </c>
      <c r="K35" s="11" t="n">
        <f aca="false">K34+J35</f>
        <v>-55927.323925951</v>
      </c>
    </row>
    <row r="36" customFormat="false" ht="15" hidden="false" customHeight="true" outlineLevel="0" collapsed="false">
      <c r="A36" s="1" t="n">
        <v>16</v>
      </c>
      <c r="B36" s="12" t="n">
        <f aca="false">IF(A36&lt;=$B$12, MAX(0.7, 1-$B$11*A36), MAX(0.7, 1-$B$11*(A36-$B$12)))</f>
        <v>0.92</v>
      </c>
      <c r="C36" s="13" t="n">
        <f aca="false">$B$8*B36</f>
        <v>45.0156</v>
      </c>
      <c r="D36" s="11" t="n">
        <f aca="false">C36*365</f>
        <v>16430.694</v>
      </c>
      <c r="E36" s="11" t="n">
        <f aca="false">$B$14*$B$15</f>
        <v>1150</v>
      </c>
      <c r="F36" s="11" t="n">
        <f aca="false">-$B$9*$B$7</f>
        <v>-2436</v>
      </c>
      <c r="G36" s="1" t="n">
        <v>0</v>
      </c>
      <c r="H36" s="11" t="n">
        <f aca="false">D36+E36+F36+G36</f>
        <v>15144.694</v>
      </c>
      <c r="I36" s="14" t="n">
        <f aca="false">1/(1+$B$10)^A36</f>
        <v>0.36345376132399</v>
      </c>
      <c r="J36" s="11" t="n">
        <f aca="false">H36*I36</f>
        <v>5504.39599840086</v>
      </c>
      <c r="K36" s="11" t="n">
        <f aca="false">K35+J36</f>
        <v>-50422.9279275501</v>
      </c>
    </row>
    <row r="37" customFormat="false" ht="15" hidden="false" customHeight="true" outlineLevel="0" collapsed="false">
      <c r="A37" s="1" t="n">
        <v>17</v>
      </c>
      <c r="B37" s="12" t="n">
        <f aca="false">IF(A37&lt;=$B$12, MAX(0.7, 1-$B$11*A37), MAX(0.7, 1-$B$11*(A37-$B$12)))</f>
        <v>0.9</v>
      </c>
      <c r="C37" s="13" t="n">
        <f aca="false">$B$8*B37</f>
        <v>44.037</v>
      </c>
      <c r="D37" s="11" t="n">
        <f aca="false">C37*365</f>
        <v>16073.505</v>
      </c>
      <c r="E37" s="11" t="n">
        <f aca="false">$B$14*$B$15</f>
        <v>1150</v>
      </c>
      <c r="F37" s="11" t="n">
        <f aca="false">-$B$9*$B$7</f>
        <v>-2436</v>
      </c>
      <c r="G37" s="1" t="n">
        <v>0</v>
      </c>
      <c r="H37" s="11" t="n">
        <f aca="false">D37+E37+F37+G37</f>
        <v>14787.505</v>
      </c>
      <c r="I37" s="14" t="n">
        <f aca="false">1/(1+$B$10)^A37</f>
        <v>0.341175031750671</v>
      </c>
      <c r="J37" s="11" t="n">
        <f aca="false">H37*I37</f>
        <v>5045.12748788821</v>
      </c>
      <c r="K37" s="11" t="n">
        <f aca="false">K36+J37</f>
        <v>-45377.8004396619</v>
      </c>
    </row>
    <row r="38" customFormat="false" ht="15" hidden="false" customHeight="true" outlineLevel="0" collapsed="false">
      <c r="A38" s="1" t="n">
        <v>18</v>
      </c>
      <c r="B38" s="12" t="n">
        <f aca="false">IF(A38&lt;=$B$12, MAX(0.7, 1-$B$11*A38), MAX(0.7, 1-$B$11*(A38-$B$12)))</f>
        <v>0.88</v>
      </c>
      <c r="C38" s="13" t="n">
        <f aca="false">$B$8*B38</f>
        <v>43.0584</v>
      </c>
      <c r="D38" s="11" t="n">
        <f aca="false">C38*365</f>
        <v>15716.316</v>
      </c>
      <c r="E38" s="11" t="n">
        <f aca="false">$B$14*$B$15</f>
        <v>1150</v>
      </c>
      <c r="F38" s="11" t="n">
        <f aca="false">-$B$9*$B$7</f>
        <v>-2436</v>
      </c>
      <c r="G38" s="1" t="n">
        <v>0</v>
      </c>
      <c r="H38" s="11" t="n">
        <f aca="false">D38+E38+F38+G38</f>
        <v>14430.316</v>
      </c>
      <c r="I38" s="14" t="n">
        <f aca="false">1/(1+$B$10)^A38</f>
        <v>0.320261927861326</v>
      </c>
      <c r="J38" s="11" t="n">
        <f aca="false">H38*I38</f>
        <v>4621.48082180814</v>
      </c>
      <c r="K38" s="11" t="n">
        <f aca="false">K37+J38</f>
        <v>-40756.3196178538</v>
      </c>
    </row>
    <row r="39" customFormat="false" ht="15" hidden="false" customHeight="true" outlineLevel="0" collapsed="false">
      <c r="A39" s="1" t="n">
        <v>19</v>
      </c>
      <c r="B39" s="12" t="n">
        <f aca="false">IF(A39&lt;=$B$12, MAX(0.7, 1-$B$11*A39), MAX(0.7, 1-$B$11*(A39-$B$12)))</f>
        <v>0.86</v>
      </c>
      <c r="C39" s="13" t="n">
        <f aca="false">$B$8*B39</f>
        <v>42.0798</v>
      </c>
      <c r="D39" s="11" t="n">
        <f aca="false">C39*365</f>
        <v>15359.127</v>
      </c>
      <c r="E39" s="11" t="n">
        <f aca="false">$B$14*$B$15</f>
        <v>1150</v>
      </c>
      <c r="F39" s="11" t="n">
        <f aca="false">-$B$9*$B$7</f>
        <v>-2436</v>
      </c>
      <c r="G39" s="1" t="n">
        <v>0</v>
      </c>
      <c r="H39" s="11" t="n">
        <f aca="false">D39+E39+F39+G39</f>
        <v>14073.127</v>
      </c>
      <c r="I39" s="14" t="n">
        <f aca="false">1/(1+$B$10)^A39</f>
        <v>0.300630740506267</v>
      </c>
      <c r="J39" s="11" t="n">
        <f aca="false">H39*I39</f>
        <v>4230.81459124874</v>
      </c>
      <c r="K39" s="11" t="n">
        <f aca="false">K38+J39</f>
        <v>-36525.505026605</v>
      </c>
    </row>
    <row r="40" customFormat="false" ht="15" hidden="false" customHeight="true" outlineLevel="0" collapsed="false">
      <c r="A40" s="1" t="n">
        <v>20</v>
      </c>
      <c r="B40" s="12" t="n">
        <f aca="false">IF(A40&lt;=$B$12, MAX(0.7, 1-$B$11*A40), MAX(0.7, 1-$B$11*(A40-$B$12)))</f>
        <v>0.84</v>
      </c>
      <c r="C40" s="13" t="n">
        <f aca="false">$B$8*B40</f>
        <v>41.1012</v>
      </c>
      <c r="D40" s="11" t="n">
        <f aca="false">C40*365</f>
        <v>15001.938</v>
      </c>
      <c r="E40" s="11" t="n">
        <f aca="false">$B$14*$B$15</f>
        <v>1150</v>
      </c>
      <c r="F40" s="11" t="n">
        <f aca="false">-$B$9*$B$7</f>
        <v>-2436</v>
      </c>
      <c r="G40" s="1" t="n">
        <v>0</v>
      </c>
      <c r="H40" s="11" t="n">
        <f aca="false">D40+E40+F40+G40</f>
        <v>13715.938</v>
      </c>
      <c r="I40" s="14" t="n">
        <f aca="false">1/(1+$B$10)^A40</f>
        <v>0.28220289167959</v>
      </c>
      <c r="J40" s="11" t="n">
        <f aca="false">H40*I40</f>
        <v>3870.67736569797</v>
      </c>
      <c r="K40" s="11" t="n">
        <f aca="false">K39+J40</f>
        <v>-32654.8276609071</v>
      </c>
    </row>
    <row r="42" customFormat="false" ht="15" hidden="false" customHeight="true" outlineLevel="0" collapsed="false">
      <c r="A42" s="4" t="s">
        <v>109</v>
      </c>
      <c r="B42" s="5"/>
      <c r="C42" s="5"/>
      <c r="D42" s="5"/>
    </row>
    <row r="43" customFormat="false" ht="15" hidden="false" customHeight="true" outlineLevel="0" collapsed="false">
      <c r="A43" s="1" t="s">
        <v>80</v>
      </c>
      <c r="B43" s="11" t="n">
        <f aca="false">B7</f>
        <v>162400</v>
      </c>
    </row>
    <row r="44" customFormat="false" ht="15" hidden="false" customHeight="true" outlineLevel="0" collapsed="false">
      <c r="A44" s="1" t="s">
        <v>110</v>
      </c>
      <c r="B44" s="15" t="n">
        <f aca="false">K40</f>
        <v>-32654.8276609071</v>
      </c>
    </row>
    <row r="45" customFormat="false" ht="15" hidden="false" customHeight="true" outlineLevel="0" collapsed="false">
      <c r="A45" s="1" t="s">
        <v>111</v>
      </c>
      <c r="B45" s="15" t="n">
        <f aca="false">K40+B16</f>
        <v>-11560.0751110208</v>
      </c>
    </row>
    <row r="46" customFormat="false" ht="15" hidden="false" customHeight="true" outlineLevel="0" collapsed="false">
      <c r="A46" s="1" t="s">
        <v>112</v>
      </c>
      <c r="B46" s="16" t="n">
        <f aca="false">B7/(D21)</f>
        <v>9.27880117888769</v>
      </c>
    </row>
    <row r="47" customFormat="false" ht="15" hidden="false" customHeight="true" outlineLevel="0" collapsed="false">
      <c r="A47" s="1" t="s">
        <v>113</v>
      </c>
      <c r="B47" s="11" t="n">
        <f aca="false">D21</f>
        <v>17502.261</v>
      </c>
    </row>
    <row r="48" customFormat="false" ht="15" hidden="false" customHeight="true" outlineLevel="0" collapsed="false">
      <c r="A48" s="1" t="s">
        <v>114</v>
      </c>
      <c r="B48" s="11" t="n">
        <f aca="false">H21</f>
        <v>16216.261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</cols>
  <sheetData>
    <row r="1" customFormat="false" ht="17.25" hidden="false" customHeight="true" outlineLevel="0" collapsed="false">
      <c r="A1" s="2" t="s">
        <v>118</v>
      </c>
    </row>
    <row r="3" customFormat="false" ht="15" hidden="false" customHeight="true" outlineLevel="0" collapsed="false">
      <c r="A3" s="3" t="s">
        <v>119</v>
      </c>
      <c r="B3" s="3" t="s">
        <v>120</v>
      </c>
      <c r="C3" s="3" t="s">
        <v>121</v>
      </c>
      <c r="D3" s="3" t="s">
        <v>122</v>
      </c>
    </row>
    <row r="4" customFormat="false" ht="15" hidden="false" customHeight="true" outlineLevel="0" collapsed="false">
      <c r="A4" s="1" t="s">
        <v>123</v>
      </c>
      <c r="B4" s="11" t="n">
        <f aca="false">'NPV — 200kWh'!B7</f>
        <v>116000</v>
      </c>
      <c r="C4" s="11" t="n">
        <f aca="false">'NPV — 400kWh'!B7</f>
        <v>162400</v>
      </c>
      <c r="D4" s="11" t="n">
        <f aca="false">C4-B4</f>
        <v>46400</v>
      </c>
    </row>
    <row r="5" customFormat="false" ht="15" hidden="false" customHeight="true" outlineLevel="0" collapsed="false">
      <c r="A5" s="1" t="s">
        <v>81</v>
      </c>
      <c r="B5" s="11" t="n">
        <f aca="false">'NPV — 200kWh'!B8</f>
        <v>34.44</v>
      </c>
      <c r="C5" s="11" t="n">
        <f aca="false">'NPV — 400kWh'!B8</f>
        <v>48.93</v>
      </c>
      <c r="D5" s="11" t="n">
        <f aca="false">C5-B5</f>
        <v>14.49</v>
      </c>
    </row>
    <row r="6" customFormat="false" ht="15" hidden="false" customHeight="true" outlineLevel="0" collapsed="false">
      <c r="A6" s="1" t="s">
        <v>113</v>
      </c>
      <c r="B6" s="11" t="n">
        <f aca="false">'NPV — 200kWh'!D21</f>
        <v>12319.188</v>
      </c>
      <c r="C6" s="11" t="n">
        <f aca="false">'NPV — 400kWh'!D21</f>
        <v>17502.261</v>
      </c>
      <c r="D6" s="11" t="n">
        <f aca="false">C6-B6</f>
        <v>5183.073</v>
      </c>
    </row>
    <row r="7" customFormat="false" ht="15" hidden="false" customHeight="true" outlineLevel="0" collapsed="false">
      <c r="A7" s="1" t="s">
        <v>114</v>
      </c>
      <c r="B7" s="11" t="n">
        <f aca="false">'NPV — 200kWh'!H21</f>
        <v>11729.188</v>
      </c>
      <c r="C7" s="11" t="n">
        <f aca="false">'NPV — 400kWh'!H21</f>
        <v>16216.261</v>
      </c>
      <c r="D7" s="11" t="n">
        <f aca="false">C7-B7</f>
        <v>4487.073</v>
      </c>
    </row>
    <row r="8" customFormat="false" ht="15" hidden="false" customHeight="true" outlineLevel="0" collapsed="false">
      <c r="A8" s="1" t="s">
        <v>112</v>
      </c>
      <c r="B8" s="16" t="n">
        <f aca="false">'NPV — 200kWh'!B46</f>
        <v>9.4162050290977</v>
      </c>
      <c r="C8" s="16" t="n">
        <f aca="false">'NPV — 400kWh'!B46</f>
        <v>9.27880117888769</v>
      </c>
      <c r="D8" s="16" t="n">
        <f aca="false">C8-B8</f>
        <v>-0.13740385021001</v>
      </c>
    </row>
    <row r="9" customFormat="false" ht="15" hidden="false" customHeight="true" outlineLevel="0" collapsed="false">
      <c r="A9" s="1" t="s">
        <v>110</v>
      </c>
      <c r="B9" s="11" t="n">
        <f aca="false">'NPV — 200kWh'!B44</f>
        <v>-17327.7904277701</v>
      </c>
      <c r="C9" s="11" t="n">
        <f aca="false">'NPV — 400kWh'!B44</f>
        <v>-32654.8276609071</v>
      </c>
      <c r="D9" s="11" t="n">
        <f aca="false">C9-B9</f>
        <v>-15327.037233137</v>
      </c>
    </row>
    <row r="10" customFormat="false" ht="15" hidden="false" customHeight="true" outlineLevel="0" collapsed="false">
      <c r="A10" s="1" t="s">
        <v>124</v>
      </c>
      <c r="B10" s="11" t="n">
        <f aca="false">'NPV — 200kWh'!B45</f>
        <v>3766.96212211618</v>
      </c>
      <c r="C10" s="11" t="n">
        <f aca="false">'NPV — 400kWh'!B45</f>
        <v>-11560.0751110208</v>
      </c>
      <c r="D10" s="11" t="n">
        <f aca="false">C10-B10</f>
        <v>-15327.037233137</v>
      </c>
    </row>
    <row r="11" customFormat="false" ht="15" hidden="false" customHeight="true" outlineLevel="0" collapsed="false">
      <c r="A11" s="1" t="s">
        <v>125</v>
      </c>
      <c r="B11" s="1" t="n">
        <v>0</v>
      </c>
      <c r="C11" s="1" t="n">
        <v>0</v>
      </c>
      <c r="D11" s="1" t="n">
        <f aca="false">C11-B11</f>
        <v>0</v>
      </c>
    </row>
    <row r="12" customFormat="false" ht="15" hidden="false" customHeight="true" outlineLevel="0" collapsed="false">
      <c r="A12" s="1" t="s">
        <v>126</v>
      </c>
      <c r="B12" s="1" t="n">
        <v>6</v>
      </c>
      <c r="C12" s="1" t="n">
        <v>3</v>
      </c>
      <c r="D12" s="1" t="n">
        <f aca="false">C12-B12</f>
        <v>-3</v>
      </c>
    </row>
    <row r="15" customFormat="false" ht="15" hidden="false" customHeight="true" outlineLevel="0" collapsed="false">
      <c r="A15" s="17" t="s">
        <v>127</v>
      </c>
    </row>
    <row r="16" customFormat="false" ht="15" hidden="false" customHeight="true" outlineLevel="0" collapsed="false">
      <c r="A16" s="1" t="s">
        <v>128</v>
      </c>
    </row>
    <row r="17" customFormat="false" ht="15" hidden="false" customHeight="true" outlineLevel="0" collapsed="false">
      <c r="A17" s="1" t="s">
        <v>129</v>
      </c>
    </row>
    <row r="18" customFormat="false" ht="15" hidden="false" customHeight="true" outlineLevel="0" collapsed="false">
      <c r="A18" s="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2026-03-19T04:06:51Z</dcterms:created>
  <dc:creator>openpyxl</dc:creator>
  <dc:description/>
  <dc:language>en-US</dc:language>
  <cp:lastModifiedBy/>
  <dcterms:modified xsi:type="dcterms:W3CDTF">2026-03-19T05:45:49Z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